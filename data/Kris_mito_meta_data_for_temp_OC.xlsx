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flinders-my.sharepoint.com/personal/crin0006_flinders_edu_au/Documents/Manuscripts/Temperature Mito Meta/Data/"/>
    </mc:Choice>
  </mc:AlternateContent>
  <xr:revisionPtr revIDLastSave="77" documentId="8_{52C07E4F-3D83-488A-A6F2-DC9097C10D6A}" xr6:coauthVersionLast="47" xr6:coauthVersionMax="47" xr10:uidLastSave="{5305EDE1-CEF4-47D3-ADD3-97891BA22D00}"/>
  <bookViews>
    <workbookView xWindow="-13335" yWindow="-16320" windowWidth="29040" windowHeight="15840" xr2:uid="{00000000-000D-0000-FFFF-FFFF00000000}"/>
  </bookViews>
  <sheets>
    <sheet name="data" sheetId="1" r:id="rId1"/>
    <sheet name="summary" sheetId="3" r:id="rId2"/>
    <sheet name="meta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g0XTAZEU5VNLRA5h2+ZhOXZGBF5Q=="/>
    </ext>
  </extLst>
</workbook>
</file>

<file path=xl/calcChain.xml><?xml version="1.0" encoding="utf-8"?>
<calcChain xmlns="http://schemas.openxmlformats.org/spreadsheetml/2006/main">
  <c r="BR91" i="1" l="1"/>
  <c r="BR92" i="1"/>
  <c r="BM91" i="1"/>
  <c r="BM92" i="1"/>
  <c r="BM88" i="1"/>
  <c r="BM89" i="1"/>
  <c r="BM90" i="1"/>
  <c r="BM87" i="1"/>
  <c r="BJ89" i="1"/>
  <c r="BJ90" i="1"/>
  <c r="BJ88" i="1"/>
  <c r="BJ87" i="1"/>
  <c r="BR89" i="1"/>
  <c r="BR90" i="1"/>
  <c r="BR87" i="1"/>
  <c r="BR88" i="1"/>
  <c r="BR85" i="1"/>
  <c r="BR86" i="1"/>
  <c r="BM85" i="1"/>
  <c r="BM86" i="1"/>
  <c r="BM82" i="1"/>
  <c r="BM83" i="1"/>
  <c r="BM84" i="1"/>
  <c r="BM74" i="1"/>
  <c r="BM75" i="1"/>
  <c r="BM76" i="1"/>
  <c r="BM77" i="1"/>
  <c r="BM78" i="1"/>
  <c r="BM79" i="1"/>
  <c r="BM80" i="1"/>
  <c r="BM81" i="1"/>
  <c r="BM63" i="1"/>
  <c r="BM64" i="1"/>
  <c r="BM65" i="1"/>
  <c r="BM66" i="1"/>
  <c r="BM67" i="1"/>
  <c r="BM68" i="1"/>
  <c r="BM69" i="1"/>
  <c r="BM70" i="1"/>
  <c r="BM71" i="1"/>
  <c r="BM72" i="1"/>
  <c r="BM73" i="1"/>
  <c r="BR84" i="1"/>
  <c r="BR83" i="1"/>
  <c r="BR82" i="1"/>
  <c r="BR81" i="1"/>
  <c r="BR80" i="1"/>
  <c r="BR79" i="1"/>
  <c r="BR78" i="1"/>
  <c r="BR77" i="1"/>
  <c r="BR76" i="1"/>
  <c r="BR75" i="1"/>
  <c r="BR74" i="1"/>
  <c r="BR73" i="1"/>
  <c r="BR72" i="1"/>
  <c r="BR71" i="1"/>
  <c r="BR70" i="1"/>
  <c r="BR69" i="1"/>
  <c r="BR68" i="1"/>
  <c r="BR67" i="1"/>
  <c r="BR66" i="1"/>
  <c r="BR65" i="1"/>
  <c r="BR64" i="1"/>
  <c r="BR63" i="1"/>
  <c r="BM57" i="1"/>
  <c r="BM58" i="1"/>
  <c r="BM59" i="1"/>
  <c r="BM60" i="1"/>
  <c r="BM61" i="1"/>
  <c r="BM62" i="1"/>
  <c r="BM56" i="1"/>
  <c r="BR57" i="1"/>
  <c r="BR58" i="1"/>
  <c r="BR59" i="1"/>
  <c r="BR60" i="1"/>
  <c r="BR61" i="1"/>
  <c r="BR62" i="1"/>
  <c r="BR56" i="1"/>
  <c r="BT53" i="1"/>
  <c r="BT54" i="1"/>
  <c r="BT55" i="1"/>
  <c r="BO53" i="1"/>
  <c r="BO54" i="1"/>
  <c r="BO55" i="1"/>
  <c r="BT51" i="1"/>
  <c r="BT52" i="1"/>
  <c r="BT50" i="1"/>
  <c r="BO50" i="1"/>
  <c r="BO51" i="1"/>
  <c r="BO52" i="1"/>
  <c r="BT47" i="1"/>
  <c r="BT48" i="1"/>
  <c r="BT49" i="1"/>
  <c r="BO47" i="1"/>
  <c r="BO48" i="1"/>
  <c r="BO49" i="1"/>
  <c r="BT44" i="1"/>
  <c r="BT45" i="1"/>
  <c r="BT46" i="1"/>
  <c r="BO44" i="1"/>
  <c r="BO45" i="1"/>
  <c r="BO46" i="1"/>
  <c r="BT41" i="1"/>
  <c r="BT42" i="1"/>
  <c r="BT43" i="1"/>
  <c r="BO41" i="1"/>
  <c r="BO42" i="1"/>
  <c r="BO43" i="1"/>
  <c r="BT39" i="1"/>
  <c r="BT40" i="1"/>
  <c r="BO39" i="1"/>
  <c r="BO40" i="1"/>
  <c r="BT35" i="1"/>
  <c r="BT36" i="1"/>
  <c r="BT37" i="1"/>
  <c r="BT38" i="1"/>
  <c r="BT34" i="1"/>
  <c r="BO34" i="1"/>
  <c r="BO35" i="1"/>
  <c r="BO36" i="1"/>
  <c r="BO37" i="1"/>
  <c r="BO38" i="1"/>
  <c r="BR32" i="1"/>
  <c r="BR30" i="1"/>
  <c r="BR31" i="1"/>
  <c r="BR33" i="1"/>
  <c r="BM31" i="1"/>
  <c r="BM32" i="1"/>
  <c r="BM33" i="1"/>
  <c r="BM30" i="1"/>
  <c r="BJ31" i="1"/>
  <c r="BJ32" i="1"/>
  <c r="BJ33" i="1"/>
  <c r="BJ16" i="1"/>
  <c r="BJ17" i="1"/>
  <c r="BJ18" i="1"/>
  <c r="BJ19" i="1"/>
  <c r="BJ20" i="1"/>
  <c r="BJ21" i="1"/>
  <c r="BJ22" i="1"/>
  <c r="BJ23" i="1"/>
  <c r="BJ24" i="1"/>
  <c r="BJ25" i="1"/>
  <c r="BJ26" i="1"/>
  <c r="BJ27" i="1"/>
  <c r="BJ28" i="1"/>
  <c r="BJ29" i="1"/>
  <c r="BJ30" i="1"/>
  <c r="BM17" i="1"/>
  <c r="BM18" i="1"/>
  <c r="BM19" i="1"/>
  <c r="BM20" i="1"/>
  <c r="BM21" i="1"/>
  <c r="BM22" i="1"/>
  <c r="BM23" i="1"/>
  <c r="BM24" i="1"/>
  <c r="BM25" i="1"/>
  <c r="BM26" i="1"/>
  <c r="BM27" i="1"/>
  <c r="BM28" i="1"/>
  <c r="BM29" i="1"/>
  <c r="BM16" i="1"/>
  <c r="BR16" i="1"/>
  <c r="BR17" i="1"/>
  <c r="BR18" i="1"/>
  <c r="BR19" i="1"/>
  <c r="BR20" i="1"/>
  <c r="BR21" i="1"/>
  <c r="BR22" i="1"/>
  <c r="BR23" i="1"/>
  <c r="BR24" i="1"/>
  <c r="BR25" i="1"/>
  <c r="BR26" i="1"/>
  <c r="BR27" i="1"/>
  <c r="BR28" i="1"/>
  <c r="BR29" i="1"/>
  <c r="BJ15" i="1" l="1"/>
  <c r="BJ14" i="1"/>
  <c r="BJ11" i="1"/>
  <c r="BJ10" i="1"/>
  <c r="BJ9" i="1"/>
  <c r="BJ8" i="1"/>
  <c r="BJ7" i="1"/>
  <c r="BJ6" i="1"/>
  <c r="BJ5" i="1"/>
  <c r="BJ4" i="1"/>
  <c r="BJ3" i="1"/>
  <c r="BJ2" i="1"/>
  <c r="BJ13" i="1" l="1"/>
  <c r="BJ12" i="1"/>
  <c r="W3" i="1"/>
  <c r="W4" i="1"/>
  <c r="W5" i="1"/>
  <c r="W6" i="1"/>
  <c r="W7" i="1"/>
  <c r="W8" i="1"/>
  <c r="W9" i="1"/>
  <c r="W10" i="1"/>
  <c r="W11" i="1"/>
  <c r="W2" i="1"/>
  <c r="AF2" i="1" s="1"/>
  <c r="AG2" i="1"/>
  <c r="AE2" i="1"/>
  <c r="AH2" i="1"/>
  <c r="A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Ondi Crino</author>
    <author/>
    <author>tc={BD6DBBF6-CE7F-494A-B9C8-DF431AA14657}</author>
  </authors>
  <commentList>
    <comment ref="A1" authorId="0" shapeId="0" xr:uid="{2F887426-4375-4122-92C6-09BB9870B745}">
      <text>
        <r>
          <rPr>
            <b/>
            <sz val="9"/>
            <color rgb="FF000000"/>
            <rFont val="Tahoma"/>
            <family val="2"/>
          </rPr>
          <t>Ondi Crino:</t>
        </r>
        <r>
          <rPr>
            <sz val="9"/>
            <color rgb="FF000000"/>
            <rFont val="Tahoma"/>
            <family val="2"/>
          </rPr>
          <t xml:space="preserve">
</t>
        </r>
        <r>
          <rPr>
            <sz val="9"/>
            <color rgb="FF000000"/>
            <rFont val="Tahoma"/>
            <family val="2"/>
          </rPr>
          <t xml:space="preserve">1 = included
</t>
        </r>
        <r>
          <rPr>
            <sz val="9"/>
            <color rgb="FF000000"/>
            <rFont val="Tahoma"/>
            <family val="2"/>
          </rPr>
          <t>0 = excluded because extreme effects detected and uncertainty about sample size or error measurement</t>
        </r>
      </text>
    </comment>
    <comment ref="K1" authorId="0" shapeId="0" xr:uid="{79F704AF-367F-426B-BB5A-AFEA9F6EF861}">
      <text>
        <r>
          <rPr>
            <b/>
            <sz val="9"/>
            <color rgb="FF000000"/>
            <rFont val="Tahoma"/>
            <family val="2"/>
          </rPr>
          <t>Ondi Crino:</t>
        </r>
        <r>
          <rPr>
            <sz val="9"/>
            <color rgb="FF000000"/>
            <rFont val="Tahoma"/>
            <family val="2"/>
          </rPr>
          <t xml:space="preserve">
</t>
        </r>
        <r>
          <rPr>
            <sz val="9"/>
            <color rgb="FF000000"/>
            <rFont val="Tahoma"/>
            <family val="2"/>
          </rPr>
          <t>median time from conception until hatch or birth</t>
        </r>
      </text>
    </comment>
    <comment ref="L1" authorId="0" shapeId="0" xr:uid="{8E0B40D6-C198-4F8D-A962-2C489939F01A}">
      <text>
        <r>
          <rPr>
            <b/>
            <sz val="9"/>
            <color rgb="FF000000"/>
            <rFont val="Tahoma"/>
            <family val="2"/>
          </rPr>
          <t>Ondi Crino:</t>
        </r>
        <r>
          <rPr>
            <sz val="9"/>
            <color rgb="FF000000"/>
            <rFont val="Tahoma"/>
            <family val="2"/>
          </rPr>
          <t xml:space="preserve">
</t>
        </r>
        <r>
          <rPr>
            <sz val="9"/>
            <color rgb="FF000000"/>
            <rFont val="Tahoma"/>
            <family val="2"/>
          </rPr>
          <t>median time young are dependent on parents prior to weaning or fledging, days between hatching/birth and independence; for precocial animals this is the median time between hatch/birth and sexual maturity (i.e., juvenile)</t>
        </r>
      </text>
    </comment>
    <comment ref="M1" authorId="0" shapeId="0" xr:uid="{34D5F130-61E6-407A-B2FE-21D471FEF011}">
      <text>
        <r>
          <rPr>
            <b/>
            <sz val="9"/>
            <color rgb="FF000000"/>
            <rFont val="Tahoma"/>
            <family val="2"/>
          </rPr>
          <t>Ondi Crino:</t>
        </r>
        <r>
          <rPr>
            <sz val="9"/>
            <color rgb="FF000000"/>
            <rFont val="Tahoma"/>
            <family val="2"/>
          </rPr>
          <t xml:space="preserve">
</t>
        </r>
        <r>
          <rPr>
            <sz val="9"/>
            <color rgb="FF000000"/>
            <rFont val="Tahoma"/>
            <family val="2"/>
          </rPr>
          <t>median time to sexual maturity</t>
        </r>
      </text>
    </comment>
    <comment ref="V1" authorId="1" shapeId="0" xr:uid="{00000000-0006-0000-0000-000001000000}">
      <text>
        <r>
          <rPr>
            <sz val="12"/>
            <color rgb="FF000000"/>
            <rFont val="Calibri"/>
            <family val="2"/>
          </rPr>
          <t>Day 0 equals day of birth or egg lay. If a treatment starts when nestlings are two days old then this value should be 3 (day 0, 1, and 2)</t>
        </r>
      </text>
    </comment>
    <comment ref="AH1" authorId="2" shapeId="0" xr:uid="{BD6DBBF6-CE7F-494A-B9C8-DF431AA14657}">
      <text>
        <t>[Threaded comment]
Your version of Excel allows you to read this threaded comment; however, any edits to it will get removed if the file is opened in a newer version of Excel. Learn more: https://go.microsoft.com/fwlink/?linkid=870924
Comment:
    Total stress duration (prenatal + postnatal) / total development period (prenatal + postnatal)</t>
      </text>
    </comment>
    <comment ref="AI1" authorId="0" shapeId="0" xr:uid="{5EF02837-5BB6-4DCE-9100-D51C4C928999}">
      <text>
        <r>
          <rPr>
            <b/>
            <sz val="9"/>
            <color indexed="81"/>
            <rFont val="Tahoma"/>
            <family val="2"/>
          </rPr>
          <t>Ondi Crino:</t>
        </r>
        <r>
          <rPr>
            <sz val="9"/>
            <color indexed="81"/>
            <rFont val="Tahoma"/>
            <family val="2"/>
          </rPr>
          <t xml:space="preserve">
The time from the end of the prenatal treatment to when the measurements were collected. So, if treatment ends at birth and mito was measured at 100 days following birth this number should be 100</t>
        </r>
      </text>
    </comment>
    <comment ref="AV1" authorId="0" shapeId="0" xr:uid="{3C165234-34EE-4A1C-B9D1-89FD1A37449B}">
      <text>
        <r>
          <rPr>
            <b/>
            <sz val="9"/>
            <color rgb="FF000000"/>
            <rFont val="Tahoma"/>
            <family val="2"/>
          </rPr>
          <t>Ondi Crino:</t>
        </r>
        <r>
          <rPr>
            <sz val="9"/>
            <color rgb="FF000000"/>
            <rFont val="Tahoma"/>
            <family val="2"/>
          </rPr>
          <t xml:space="preserve">
</t>
        </r>
        <r>
          <rPr>
            <sz val="9"/>
            <color rgb="FF000000"/>
            <rFont val="Tahoma"/>
            <family val="2"/>
          </rPr>
          <t>For respiration data only; listed as either homogenate (includes intact and permeabilized cells) OR isolated mitochondria</t>
        </r>
      </text>
    </comment>
    <comment ref="AX1" authorId="0" shapeId="0" xr:uid="{5242DECB-9DEF-492B-ADD7-75CF70CC9B24}">
      <text>
        <r>
          <rPr>
            <b/>
            <sz val="9"/>
            <color rgb="FF000000"/>
            <rFont val="Tahoma"/>
            <family val="2"/>
          </rPr>
          <t>Ondi Crino:</t>
        </r>
        <r>
          <rPr>
            <sz val="9"/>
            <color rgb="FF000000"/>
            <rFont val="Tahoma"/>
            <family val="2"/>
          </rPr>
          <t xml:space="preserve">
</t>
        </r>
        <r>
          <rPr>
            <sz val="9"/>
            <color rgb="FF000000"/>
            <rFont val="Tahoma"/>
            <family val="2"/>
          </rPr>
          <t xml:space="preserve">For measures of mitochondrial efficiency, mitochondrial capacity, and metabolic capacity:
</t>
        </r>
        <r>
          <rPr>
            <sz val="9"/>
            <color rgb="FF000000"/>
            <rFont val="Tahoma"/>
            <family val="2"/>
          </rPr>
          <t xml:space="preserve">1 = higher numbers indicate great efficiency/capacity/function
</t>
        </r>
        <r>
          <rPr>
            <sz val="9"/>
            <color rgb="FF000000"/>
            <rFont val="Tahoma"/>
            <family val="2"/>
          </rPr>
          <t xml:space="preserve">
</t>
        </r>
        <r>
          <rPr>
            <sz val="9"/>
            <color rgb="FF000000"/>
            <rFont val="Tahoma"/>
            <family val="2"/>
          </rPr>
          <t xml:space="preserve">0 = higher numbers indicate lower efficiency/capacity/function 
</t>
        </r>
        <r>
          <rPr>
            <sz val="9"/>
            <color rgb="FF000000"/>
            <rFont val="Tahoma"/>
            <family val="2"/>
          </rPr>
          <t xml:space="preserve">
</t>
        </r>
        <r>
          <rPr>
            <sz val="9"/>
            <color rgb="FF000000"/>
            <rFont val="Tahoma"/>
            <family val="2"/>
          </rPr>
          <t>2 = listed for measures of glucocorticoids</t>
        </r>
      </text>
    </comment>
    <comment ref="AY1" authorId="0" shapeId="0" xr:uid="{FE5DE2B0-FD47-4D03-AEF5-025473B63C12}">
      <text>
        <r>
          <rPr>
            <b/>
            <sz val="9"/>
            <color rgb="FF000000"/>
            <rFont val="Tahoma"/>
            <family val="2"/>
          </rPr>
          <t>Ondi Crino:</t>
        </r>
        <r>
          <rPr>
            <sz val="9"/>
            <color rgb="FF000000"/>
            <rFont val="Tahoma"/>
            <family val="2"/>
          </rPr>
          <t xml:space="preserve">
</t>
        </r>
        <r>
          <rPr>
            <sz val="9"/>
            <color rgb="FF000000"/>
            <rFont val="Tahoma"/>
            <family val="2"/>
          </rPr>
          <t>For respiration data only; categories are: basal, leak, oxphos, ets, mito efficiency and mito capacity</t>
        </r>
      </text>
    </comment>
    <comment ref="BW1" authorId="0" shapeId="0" xr:uid="{6C09449B-DF90-B64B-A4D3-EAF7D67C04B5}">
      <text>
        <r>
          <rPr>
            <b/>
            <sz val="9"/>
            <color rgb="FF000000"/>
            <rFont val="Tahoma"/>
            <family val="2"/>
          </rPr>
          <t>Ondi Crino:</t>
        </r>
        <r>
          <rPr>
            <sz val="9"/>
            <color rgb="FF000000"/>
            <rFont val="Tahoma"/>
            <family val="2"/>
          </rPr>
          <t xml:space="preserve">
</t>
        </r>
        <r>
          <rPr>
            <sz val="9"/>
            <color rgb="FF000000"/>
            <rFont val="Tahoma"/>
            <family val="2"/>
          </rPr>
          <t>Yes: data from the control group was used in more than one comparison (e.g., high temp versus control, and low temp versus control)</t>
        </r>
      </text>
    </comment>
    <comment ref="BR135" authorId="0" shapeId="0" xr:uid="{F49CDD2D-C0A1-7B47-BAC3-A15CC4565C3E}">
      <text>
        <r>
          <rPr>
            <b/>
            <sz val="9"/>
            <color indexed="81"/>
            <rFont val="Tahoma"/>
            <family val="2"/>
          </rPr>
          <t>Ondi Crino:</t>
        </r>
        <r>
          <rPr>
            <sz val="9"/>
            <color indexed="81"/>
            <rFont val="Tahoma"/>
            <family val="2"/>
          </rPr>
          <t xml:space="preserve">
was cacluated as 0.0</t>
        </r>
      </text>
    </comment>
    <comment ref="BT135" authorId="0" shapeId="0" xr:uid="{C32D749D-8C7D-264E-BD31-2800E01BF17E}">
      <text>
        <r>
          <rPr>
            <b/>
            <sz val="9"/>
            <color indexed="81"/>
            <rFont val="Tahoma"/>
            <family val="2"/>
          </rPr>
          <t>Ondi Crino:</t>
        </r>
        <r>
          <rPr>
            <sz val="9"/>
            <color indexed="81"/>
            <rFont val="Tahoma"/>
            <family val="2"/>
          </rPr>
          <t xml:space="preserve">
was calculated as 0.0</t>
        </r>
      </text>
    </comment>
    <comment ref="BJ511" authorId="0" shapeId="0" xr:uid="{44619A85-2405-284F-8B20-C31AABBEEEF4}">
      <text>
        <r>
          <rPr>
            <b/>
            <sz val="9"/>
            <color indexed="81"/>
            <rFont val="Tahoma"/>
            <family val="2"/>
          </rPr>
          <t>Ondi Crino:</t>
        </r>
        <r>
          <rPr>
            <sz val="9"/>
            <color indexed="81"/>
            <rFont val="Tahoma"/>
            <family val="2"/>
          </rPr>
          <t xml:space="preserve">
40% reduced food</t>
        </r>
      </text>
    </comment>
    <comment ref="AV1002" authorId="0" shapeId="0" xr:uid="{1E007F74-7898-4EE9-8078-3AB88237EC25}">
      <text>
        <r>
          <rPr>
            <b/>
            <sz val="9"/>
            <color indexed="81"/>
            <rFont val="Tahoma"/>
            <family val="2"/>
          </rPr>
          <t>Ondi Crino:</t>
        </r>
        <r>
          <rPr>
            <sz val="9"/>
            <color indexed="81"/>
            <rFont val="Tahoma"/>
            <family val="2"/>
          </rPr>
          <t xml:space="preserve">
from isolated muscle fibers that were permeabilized prior to measuring respiration </t>
        </r>
      </text>
    </comment>
  </commentList>
  <extLst>
    <ext xmlns:r="http://schemas.openxmlformats.org/officeDocument/2006/relationships" uri="GoogleSheetsCustomDataVersion1">
      <go:sheetsCustomData xmlns:go="http://customooxmlschemas.google.com/" r:id="rId1" roundtripDataSignature="AMtx7miaYa/RVqbwOgGIicY3YU9QLTScWg=="/>
    </ext>
  </extLst>
</comments>
</file>

<file path=xl/sharedStrings.xml><?xml version="1.0" encoding="utf-8"?>
<sst xmlns="http://schemas.openxmlformats.org/spreadsheetml/2006/main" count="5036" uniqueCount="419">
  <si>
    <t>study</t>
  </si>
  <si>
    <t>author</t>
  </si>
  <si>
    <t>year</t>
  </si>
  <si>
    <t>class</t>
  </si>
  <si>
    <t>order</t>
  </si>
  <si>
    <t>family</t>
  </si>
  <si>
    <t>genus</t>
  </si>
  <si>
    <t>species</t>
  </si>
  <si>
    <t>common_name</t>
  </si>
  <si>
    <t>stage</t>
  </si>
  <si>
    <t>sex</t>
  </si>
  <si>
    <t>measure_delay_units</t>
  </si>
  <si>
    <t>envirn_type</t>
  </si>
  <si>
    <t>admin</t>
  </si>
  <si>
    <t>tissue</t>
  </si>
  <si>
    <t>descrp_measure</t>
  </si>
  <si>
    <t>units</t>
  </si>
  <si>
    <t>measurement_methods</t>
  </si>
  <si>
    <t>ref</t>
  </si>
  <si>
    <t>t1</t>
  </si>
  <si>
    <t>t2</t>
  </si>
  <si>
    <t>dose</t>
  </si>
  <si>
    <t>mean_t1</t>
  </si>
  <si>
    <t>sd_t1</t>
  </si>
  <si>
    <t>n_t1</t>
  </si>
  <si>
    <t>se_t1</t>
  </si>
  <si>
    <t>mean_t2</t>
  </si>
  <si>
    <t>sd_t2</t>
  </si>
  <si>
    <t>n_t2</t>
  </si>
  <si>
    <t>se_t2</t>
  </si>
  <si>
    <t>sample_depend</t>
  </si>
  <si>
    <t>type</t>
  </si>
  <si>
    <t>postnatal</t>
  </si>
  <si>
    <t>both</t>
  </si>
  <si>
    <t>days</t>
  </si>
  <si>
    <t>table2</t>
  </si>
  <si>
    <t>Leak</t>
  </si>
  <si>
    <t>temp</t>
  </si>
  <si>
    <t>ambient</t>
  </si>
  <si>
    <t>Column Name</t>
  </si>
  <si>
    <t>Description</t>
  </si>
  <si>
    <t>Unique study identifier</t>
  </si>
  <si>
    <t>First author last name</t>
  </si>
  <si>
    <t>Year the publication was published</t>
  </si>
  <si>
    <t>Class of organism</t>
  </si>
  <si>
    <t>Family of organism</t>
  </si>
  <si>
    <t>Genus of organism</t>
  </si>
  <si>
    <t xml:space="preserve">Binomial species name of organism. </t>
  </si>
  <si>
    <t>Type of developmental environment manipulation. Categorical. Categories include: "temp", "nutrition",'brood"</t>
  </si>
  <si>
    <t>Units of outcome variable</t>
  </si>
  <si>
    <t>Treatment 1 name. This could be temperature, nurtition, control etc</t>
  </si>
  <si>
    <t>Treatment 2 name. This could be temperature, nurtition, control etc</t>
  </si>
  <si>
    <t xml:space="preserve">Sample size in treatment 1. </t>
  </si>
  <si>
    <t xml:space="preserve">Sample size in treatment 2. </t>
  </si>
  <si>
    <t>A classifier that identified if different rows in the dataset are traits measured on the SAME SAMPLE of animals. If the same sample then they share the same number</t>
  </si>
  <si>
    <t>figure3</t>
  </si>
  <si>
    <t>figure4</t>
  </si>
  <si>
    <t>liver</t>
  </si>
  <si>
    <t>skeletal muscle</t>
  </si>
  <si>
    <t>ADP-stimulated</t>
  </si>
  <si>
    <t>measure_listed</t>
  </si>
  <si>
    <t>leak</t>
  </si>
  <si>
    <t>oxidative damage</t>
  </si>
  <si>
    <t>figure3a</t>
  </si>
  <si>
    <t>antioxidant</t>
  </si>
  <si>
    <t>SOD</t>
  </si>
  <si>
    <t>CAT</t>
  </si>
  <si>
    <t>catalase (CAT) activity</t>
  </si>
  <si>
    <t>ratio</t>
  </si>
  <si>
    <t>dur_trt_postnatal</t>
  </si>
  <si>
    <t>prenatal_trt_start</t>
  </si>
  <si>
    <t>prenatal_trt_end</t>
  </si>
  <si>
    <t>post_natal_trt_start</t>
  </si>
  <si>
    <t>postnatal_trt_end</t>
  </si>
  <si>
    <t>total_trt_duration</t>
  </si>
  <si>
    <t>postnatal_unit</t>
  </si>
  <si>
    <t>prenatal_unit</t>
  </si>
  <si>
    <t>total_trt_unit</t>
  </si>
  <si>
    <t>prenatal_dur</t>
  </si>
  <si>
    <t>figure2a</t>
  </si>
  <si>
    <t>figure2b</t>
  </si>
  <si>
    <t>prenatal_measure_delay</t>
  </si>
  <si>
    <t>postnatal_measure_delay</t>
  </si>
  <si>
    <t>figure2</t>
  </si>
  <si>
    <t>figure5</t>
  </si>
  <si>
    <t>hours</t>
  </si>
  <si>
    <t>heart</t>
  </si>
  <si>
    <t>tissue_sum</t>
  </si>
  <si>
    <t>figure8</t>
  </si>
  <si>
    <t>figure9</t>
  </si>
  <si>
    <t>table3</t>
  </si>
  <si>
    <t>Actinopterygii</t>
  </si>
  <si>
    <t>tail muscle</t>
  </si>
  <si>
    <t>CI95_t1</t>
  </si>
  <si>
    <t>CI95_t2</t>
  </si>
  <si>
    <t>MDA</t>
  </si>
  <si>
    <t>malondialdehyde</t>
  </si>
  <si>
    <t>metabolic capacity</t>
  </si>
  <si>
    <t>CS</t>
  </si>
  <si>
    <t>common name of organism</t>
  </si>
  <si>
    <t>when conditions were applied during development (i.e., pre or postnatal)</t>
  </si>
  <si>
    <t>the sex of the study animals (i.e., male, female, or both)</t>
  </si>
  <si>
    <t>when prenatal treatment was initiated where 0 = conception</t>
  </si>
  <si>
    <t xml:space="preserve">when prenatal treatment terminates </t>
  </si>
  <si>
    <t xml:space="preserve">unit of time of prental treatment </t>
  </si>
  <si>
    <t>Day 0 equals day of birth or egg lay. If a treatment starts when nestlings are two days old then this value should be 3 (day 0, 1, and 2)</t>
  </si>
  <si>
    <t xml:space="preserve">the amount of time postnatal treatment was administered, if listed as birth to day 14 the assumption is that the time frame is inclusive and this number would be 15 </t>
  </si>
  <si>
    <t xml:space="preserve">unit of time of postnatal treatment </t>
  </si>
  <si>
    <t xml:space="preserve">unit of time of total treatments </t>
  </si>
  <si>
    <t>the amount of time all treatments were administered, if prenatal duration = 20 and postnatal = 20 days then this number is 40</t>
  </si>
  <si>
    <t>The time from the end of the prenatal treatment to when the measurements were collected. So, if treatment ends at birth and mito was measured at 100 days following birth this number should be 100</t>
  </si>
  <si>
    <t>The time from the end of the postnatal treatment to when the measurements were collected. If treatment ends at 15 days and mito was measured at 100 days then this number should be 85</t>
  </si>
  <si>
    <t xml:space="preserve">unit of time of delay </t>
  </si>
  <si>
    <t>specific type of tissue used (e.g., section of brain)</t>
  </si>
  <si>
    <t xml:space="preserve">what the authors listed that was measured </t>
  </si>
  <si>
    <t>description of what was measured with details from author</t>
  </si>
  <si>
    <t>classification of means, e.g., raw or least squares</t>
  </si>
  <si>
    <t>notes</t>
  </si>
  <si>
    <t>anything that may be important</t>
  </si>
  <si>
    <t>NA</t>
  </si>
  <si>
    <t>juvenile</t>
  </si>
  <si>
    <t>superoxide dismutase</t>
  </si>
  <si>
    <t>num_tissues_types</t>
  </si>
  <si>
    <t>fasting_period</t>
  </si>
  <si>
    <t>fasting_period_units</t>
  </si>
  <si>
    <t>fasting_period_unit</t>
  </si>
  <si>
    <t>the unit of time animals were fasted before tissues were harvested</t>
  </si>
  <si>
    <t>num_tissue_types</t>
  </si>
  <si>
    <t>figure6</t>
  </si>
  <si>
    <t>time animals were fasted before tissues were harvested; if listed as 'overnight' 12 hours used; NA indicates the information is not available</t>
  </si>
  <si>
    <t>CORT_values_available</t>
  </si>
  <si>
    <t>yes' if there are data on CORT levels in response to a manipulation. For example, if a study chased fish as a disturbance and measure the effect of this treatment on CORT in addition to mito parameters then this is a 'yes;' if there are no CORT values = "NA"</t>
  </si>
  <si>
    <t>figure7</t>
  </si>
  <si>
    <t>gill</t>
  </si>
  <si>
    <t xml:space="preserve">the number of tissue types for which we can extract effects sizes; potentially multiple tissues were harvested, but if only one was used to measure mito parameters then this variable is scored as '1'; different sections of tissue count as different tissue types (e.g., different neural regions) </t>
  </si>
  <si>
    <t>kidney</t>
  </si>
  <si>
    <t>ATPase</t>
  </si>
  <si>
    <t>nutrition_type</t>
  </si>
  <si>
    <t>nutrition_sum</t>
  </si>
  <si>
    <t>CcO</t>
  </si>
  <si>
    <t>RCR</t>
  </si>
  <si>
    <t>table1</t>
  </si>
  <si>
    <t>figure5a</t>
  </si>
  <si>
    <t>Reptilia</t>
  </si>
  <si>
    <t>figure3b</t>
  </si>
  <si>
    <t>figure3c</t>
  </si>
  <si>
    <t>figure3d</t>
  </si>
  <si>
    <t>figure3e</t>
  </si>
  <si>
    <t>figure3f</t>
  </si>
  <si>
    <t>ventricle</t>
  </si>
  <si>
    <t>Alligator</t>
  </si>
  <si>
    <t>American alligator</t>
  </si>
  <si>
    <t>Crocodilia</t>
  </si>
  <si>
    <t>Alligatoridae</t>
  </si>
  <si>
    <t>Amphibia</t>
  </si>
  <si>
    <t>mitochondrial efficiency</t>
  </si>
  <si>
    <t>mito_preparation</t>
  </si>
  <si>
    <t>isolated</t>
  </si>
  <si>
    <t>homogenate</t>
  </si>
  <si>
    <t>control_multiple_comparisons</t>
  </si>
  <si>
    <t>respiration_category</t>
  </si>
  <si>
    <t>respiration</t>
  </si>
  <si>
    <t>measurement_category</t>
  </si>
  <si>
    <t>total oxphos</t>
  </si>
  <si>
    <t>mito_efficiency_dir</t>
  </si>
  <si>
    <t>antioxidant_category</t>
  </si>
  <si>
    <t>enzymatic</t>
  </si>
  <si>
    <t>oxidative_damage_category</t>
  </si>
  <si>
    <t>lipids</t>
  </si>
  <si>
    <t>proteins</t>
  </si>
  <si>
    <t>non-mitochondrial metabolic pathways</t>
  </si>
  <si>
    <t>LDH</t>
  </si>
  <si>
    <t xml:space="preserve">mitochondrial capacity </t>
  </si>
  <si>
    <t>Anura</t>
  </si>
  <si>
    <t>carbonyl content</t>
  </si>
  <si>
    <t>protein carbonyl, oxidative damage biomarker</t>
  </si>
  <si>
    <t>Gadiformes</t>
  </si>
  <si>
    <t>Gadidae</t>
  </si>
  <si>
    <t>CCO</t>
  </si>
  <si>
    <t>Gadus</t>
  </si>
  <si>
    <t>morhua</t>
  </si>
  <si>
    <t>Atlantic cod</t>
  </si>
  <si>
    <t>TMPD (max complex IV)</t>
  </si>
  <si>
    <t>Rotenone (complex II activity)</t>
  </si>
  <si>
    <t>U/mg protein</t>
  </si>
  <si>
    <t>units/g wet tissue</t>
  </si>
  <si>
    <t>age_sexual_maturity</t>
  </si>
  <si>
    <t>prenatal_dev_time</t>
  </si>
  <si>
    <t>postnatal_dev_time</t>
  </si>
  <si>
    <t>unit_dev_time</t>
  </si>
  <si>
    <t>relative_prenatal_end</t>
  </si>
  <si>
    <t>relative_prenatal_start</t>
  </si>
  <si>
    <t>relative_postnatal_duration</t>
  </si>
  <si>
    <t>relative_postnatal_start</t>
  </si>
  <si>
    <t>relative_postnatal_end</t>
  </si>
  <si>
    <t>relative_total_duration</t>
  </si>
  <si>
    <t>relative_prenatal_duration</t>
  </si>
  <si>
    <t>life_expectancy</t>
  </si>
  <si>
    <t>relative_treatment_delay</t>
  </si>
  <si>
    <t>time from conception to birth or hatch</t>
  </si>
  <si>
    <t>time young are dependent on parents prior to weaning or fledging, days between hatching/birth and independence; for precocial animals this is the median time between hatch/birth and sexual maturity (i.e., juvenile)</t>
  </si>
  <si>
    <t>time to sexual maturity</t>
  </si>
  <si>
    <t>time from birth to death</t>
  </si>
  <si>
    <t xml:space="preserve">the amount of time prenatal treatment was administered, if listed as conception to day 14 the assumption is that the time frame is inclusive and this number would be 15, this may vary based on the study (e.g., if they specify that the treatment was not administered on the final day) </t>
  </si>
  <si>
    <t>when prenatal treatments start relative to the prenatal developmental period; calculated as prenatal_trt_start / prenatal_dev_time; for context: if this value is 0.18 then the treatment started 18% of the way through the prenatal developmental period</t>
  </si>
  <si>
    <t>when prenatal treatment ends relative to the prenatal developmental period; calculated as prenatal_trt_end / prenatal_dev_time; for context: if this value is 0.98 then the treatment ended 98% of the way through the prenatal developmental period</t>
  </si>
  <si>
    <t>duration of prenatal treatment relative to the total prenatal developmental period; calculated as prenatal_dur / prenatal_dev_time; context: if this value is 0.45 then the treatment was given for 45% of the prenatal developmental period</t>
  </si>
  <si>
    <r>
      <t>Altricial animals</t>
    </r>
    <r>
      <rPr>
        <b/>
        <sz val="12"/>
        <color theme="1"/>
        <rFont val="Calibri"/>
        <family val="2"/>
        <scheme val="minor"/>
      </rPr>
      <t xml:space="preserve">: </t>
    </r>
    <r>
      <rPr>
        <sz val="12"/>
        <color theme="1"/>
        <rFont val="Calibri"/>
        <family val="2"/>
        <scheme val="minor"/>
      </rPr>
      <t>when postnatal treatments start relative to the postnatal developmental period, calculated as postnatal_trt_start / postnatal_dev_time; for context: if this value is 0.18 then the treatment started 18% of the way through the postnatal developmental period. Precocial animals: when the postnatal treatment starts relative to the time until sexual maturity, calculated as postnatal_trt_start / age_sexual_maturity</t>
    </r>
  </si>
  <si>
    <t>Altricial animals: when postnatal treatment ends relative to the postnatal developmental period; calculated as postnatal_trt_end / postnatal_dev_time; for context: if this value is 0.98 then the treatment ended 98% of the way through the postnatal developmental period, this value can be over 1.0 because developmental time is determined as a median value; Precocial animals: when the postnatal treatment starts relative to the time until sexual maturity, calculated as postnatal_trt_end / age_sexual_maturity</t>
  </si>
  <si>
    <t>Altricial animals: duration of postnatal treatment relative to the total postnatal developmental period; calculated as postnatal_dur / postnatal_dev_time; context: if this value is 0.45 then the treatment was given for 45% of the postnatal developmental period, this value can be over 1.0 because developmental times are determined as a median value; Precocial animals: duration of the postnatal treatment relative to the time until sexual maturity, calculated as dur_trt_postnatal / age_sexual_maturity</t>
  </si>
  <si>
    <t>Altricial animls: the total treatment exposure (total_trt_duration which equals dur_trt_prenatal + dur_trt_postnatal) / the total developmental time (prenatal_dev_time + postnatal_dev_time), context: If value is 0.25 then the animal was exposed to the stressor for 25% of its development; Precocial animals: the total treatment exposure (total_trt_duration) / time to sexual maturity (age_sexual_maturity)</t>
  </si>
  <si>
    <t>delay between when mito parameters were measured relative to the end of treatment and developmental period; Prenatal: prenatal_measure_delay / prenatal_dev_time ; Postnatal: postnatal_measure_delay / postnatal_dev_timel: Prenatal/postnatal: postnatal_measure_delay / age_sexual_maturity (this one will be conservative because the delay between prenatal stressor will be longer than postnatal stressor but if prenatal + postnatal have a stronger effect this will be picked up in an interaction term in stats model</t>
  </si>
  <si>
    <t>If the developmental manipulation is nutrition, will be "overnutrition" if given more than control and "undernutrition" if given less than control; if not nutrition then NA</t>
  </si>
  <si>
    <t>If the developmental manipulation is nutrition, was fat, protein, carbohydrate, or total food manipulated; if not nutrition then NA</t>
  </si>
  <si>
    <t>how the treatment was delivered; currently this column is not very informative and doesn't seem to contain data that is unique to other variables</t>
  </si>
  <si>
    <t>category of tissue type e.g., liver, brain, skeletal muscle, heart, intestines, gill, plasma/serum</t>
  </si>
  <si>
    <t>how the tissue was prepared (isolated, homogenate, permeabilized); currently NA is listed if method doesn't depend on mitochondrial preparation (i.e., only relevant for respiration)</t>
  </si>
  <si>
    <t>For measures of mitochondrial efficiency, mitochondrial capacity, and metabolic capacity: 1 = higher numbers indicate great efficiency/capacity; 0 = higher numbers indicate lower efficiency/capacity; NA = same as 1</t>
  </si>
  <si>
    <t>For respiration data only (where measurement_category = 'respiration"; categories are: basal, leak, oxphos, ets, mito efficiency and mito capacity</t>
  </si>
  <si>
    <t>Where measurement_category = "antioxidant", will be "enzymatic", "non-enzymatic", or "general"</t>
  </si>
  <si>
    <t>Where measurement_category = "oxidative damage", will be "lipids", "proteins", "general", or "dna"</t>
  </si>
  <si>
    <t>measure_category</t>
  </si>
  <si>
    <t>broad category of what the mito measurement indicates about mito bioenergetics: "respiration", "oxidative damage", "antioxidant", "oxidative stress", "metabolic capacity", "gene expression", or "glucocorticoids" (because we originally were collecting data on GCs)</t>
  </si>
  <si>
    <t>how the parameters were measured</t>
  </si>
  <si>
    <t>where the data were extracted from in the manuscript (e.g., table2, figure1c, etc)</t>
  </si>
  <si>
    <t>the dose of the treatment</t>
  </si>
  <si>
    <t>Units of the treatment manipulation. If a temperature manipulation then this is in degrees Celcius. If brood size, this woul dbe the change in brood size</t>
  </si>
  <si>
    <t>note keeping to indicate if the control group is used in more than one comparison (e.g., control vs 20C AND control vs 30C); is "yes" or "no"</t>
  </si>
  <si>
    <t>mito_ambiguity</t>
  </si>
  <si>
    <t>not-ambiguous</t>
  </si>
  <si>
    <t>ambiguous</t>
  </si>
  <si>
    <t>exclude_missing_info</t>
  </si>
  <si>
    <t>Cyprinodontiformes</t>
  </si>
  <si>
    <t>Poeciliidae</t>
  </si>
  <si>
    <t>Gambusia</t>
  </si>
  <si>
    <t>holbrooki</t>
  </si>
  <si>
    <t>mosquito fish</t>
  </si>
  <si>
    <t>WildNew1</t>
  </si>
  <si>
    <t>Yakovleva et al. 2004; Barata et al. 2005</t>
  </si>
  <si>
    <t>commercial kit (MAK085; Sigma-Aldrich)</t>
  </si>
  <si>
    <t>commercial kit (MAK094; Sigma-Aldrich)</t>
  </si>
  <si>
    <t>Figure 5a,b</t>
  </si>
  <si>
    <t>Figure 5c,d</t>
  </si>
  <si>
    <t>nmol/mg tissue</t>
  </si>
  <si>
    <t>U/mg tissue</t>
  </si>
  <si>
    <t>nmol/mg protein</t>
  </si>
  <si>
    <t>figure 7a,b</t>
  </si>
  <si>
    <t>figure 7b,c</t>
  </si>
  <si>
    <t>figure7d,e</t>
  </si>
  <si>
    <t>figure 7e,f</t>
  </si>
  <si>
    <t>figure 6a,b</t>
  </si>
  <si>
    <t>figure 6b,c</t>
  </si>
  <si>
    <t>figure 6d,e</t>
  </si>
  <si>
    <t>figure 6e,f</t>
  </si>
  <si>
    <t>Pleuronectiformes</t>
  </si>
  <si>
    <t>Soleidae</t>
  </si>
  <si>
    <t>Solea</t>
  </si>
  <si>
    <t>senegalensis</t>
  </si>
  <si>
    <t>Senegalese sole</t>
  </si>
  <si>
    <t>gill arch scraping</t>
  </si>
  <si>
    <t>umol inorganic phosphate/min/mg protein</t>
  </si>
  <si>
    <t>posterior kidney</t>
  </si>
  <si>
    <t>celsius</t>
  </si>
  <si>
    <t>branchial Na+/K+-ATPase activity (SAopt)</t>
  </si>
  <si>
    <t>Flik et al. 1983 adapted to 96-well plates</t>
  </si>
  <si>
    <t>renal Na+/K+-ATPase activity (SAopt)</t>
  </si>
  <si>
    <t>WildNew2</t>
  </si>
  <si>
    <t>WildNew3</t>
  </si>
  <si>
    <t>ID</t>
  </si>
  <si>
    <t>Notes</t>
  </si>
  <si>
    <t>Arjona_et_al_2010</t>
  </si>
  <si>
    <t>Gray 2016</t>
  </si>
  <si>
    <t>tadpoles of green frog collected from field in winter and summer; not a clean experimental developmental temperature manipulation, so not used under current inclusion rules; tadpoles were only held briefly at seasonal temperatures and then tested acutely at 8 and 26C; relevant outcomes measured were CCO, CS, and LDH in trunk/tail skeletal muscle homogenates, plus SMR and membrane composition.</t>
  </si>
  <si>
    <t>Use</t>
  </si>
  <si>
    <t>Y</t>
  </si>
  <si>
    <t>N</t>
  </si>
  <si>
    <t>Glanville and Seebacher 2006</t>
  </si>
  <si>
    <t>Crocodylia</t>
  </si>
  <si>
    <t>Crocodylidae</t>
  </si>
  <si>
    <t>Crocodylus</t>
  </si>
  <si>
    <t>porosus</t>
  </si>
  <si>
    <t>estuarine crocodile</t>
  </si>
  <si>
    <t>state 3 oxygen consumption with pyruvate and malate substrates; assayed at 20, 25, and 30C</t>
  </si>
  <si>
    <t>umol min-1 mg-1 protein</t>
  </si>
  <si>
    <t>isolated mitochondria; Strathkelvin Mitocell oxygen electrode; duplicate assays</t>
  </si>
  <si>
    <t>respiratory control ratio; state 3/state 4; assayed at 20, 25, and 30C</t>
  </si>
  <si>
    <t>tail muscle (longissimus dorsi)</t>
  </si>
  <si>
    <t>lactate dehydrogenase activity; assayed at 20, 25, and 30C</t>
  </si>
  <si>
    <t>spectrophotometric assay; methods following Seebacher et al. 2003; duplicate assays</t>
  </si>
  <si>
    <t>cytochrome c oxidase activity; assayed at 20, 25, and 30C</t>
  </si>
  <si>
    <t>citrate synthase activity; assayed at 20, 25, and 30C</t>
  </si>
  <si>
    <t>Arjona_et_al</t>
  </si>
  <si>
    <t>Price et al., 2017</t>
  </si>
  <si>
    <t>Done</t>
  </si>
  <si>
    <t>Kazerouni_et_al_2016</t>
  </si>
  <si>
    <t>Kazerouni_et_al</t>
  </si>
  <si>
    <t>Glanville_and_Seebacher</t>
  </si>
  <si>
    <t>WildNew4</t>
  </si>
  <si>
    <t>caudofemoralis muscle</t>
  </si>
  <si>
    <t>lactate dehydrogenase activity; assayed at 20 and 30C in caudofemoralis muscle</t>
  </si>
  <si>
    <t>umol substrate converted min-1 g-1 wet tissue</t>
  </si>
  <si>
    <t>Seebacher et al. 2003; duplicate spectrophotometric assay in temperature-controlled cuvette holder</t>
  </si>
  <si>
    <t>cytochrome c oxidase activity; assayed at 20 and 30C in caudofemoralis muscle</t>
  </si>
  <si>
    <t>myofibrillar ATPase activity of caudofemoralis muscle; assayed at 20 and 30C</t>
  </si>
  <si>
    <t>umol substrate converted min-1 mg-1 myofibrillar protein</t>
  </si>
  <si>
    <t>isolated myofibrils; linked enzyme assay measuring disappearance of NADH at 340 nm; duplicate assays</t>
  </si>
  <si>
    <t>Seebacher_and_James</t>
  </si>
  <si>
    <t>mississippiensis</t>
  </si>
  <si>
    <t>state 3 oxygen consumption with malate and pyruvate after addition of ADP; assayed at 20 and 30C</t>
  </si>
  <si>
    <t>nmol O min-1 mg mitochondrial protein-1</t>
  </si>
  <si>
    <t>polarographic oxygen electrode; isolated mitochondria from fresh tissue</t>
  </si>
  <si>
    <t>oligomycin-inhibited state 4 respiration after pyruvate and malate; assayed at 20 and 30C</t>
  </si>
  <si>
    <t>polarographic oxygen electrode; isolated mitochondria from fresh tissue; oligomycin 4 ug ml-1</t>
  </si>
  <si>
    <t xml:space="preserve">OXPHOSCI respiration </t>
  </si>
  <si>
    <t>flux through complexes 1-4 with malate, pyruvate, and ADP, corrected for rotenone; assayed at 20 and 30C</t>
  </si>
  <si>
    <t>polarographic oxygen electrode; intact isolated mitochondria</t>
  </si>
  <si>
    <t>flux through complexes 2-4 from succinate after inhibition of complex I with rotenone, corrected for antimycin A; assayed at 20 and 30C</t>
  </si>
  <si>
    <t>flux through complex IV with ascorbate and TMPD, corrected for azide and TMPD auto-oxidation; assayed at 20 and 30C</t>
  </si>
  <si>
    <t>lactate dehydrogenase activity; assayed at 20 and 30C</t>
  </si>
  <si>
    <t>Seebacher et al. 2003; duplicate spectrophotometric assay</t>
  </si>
  <si>
    <t>cytochrome c oxidase activity; assayed at 20 and 30C</t>
  </si>
  <si>
    <t>citrate synthase activity; assayed at 20 and 30C</t>
  </si>
  <si>
    <t>gut</t>
  </si>
  <si>
    <t>duodenum</t>
  </si>
  <si>
    <t>WildNew5</t>
  </si>
  <si>
    <t>Guderley_and_Seebacher 2011</t>
  </si>
  <si>
    <t>Seebacher_and_James_2008</t>
  </si>
  <si>
    <t>WildNew6</t>
  </si>
  <si>
    <t>WildNew7</t>
  </si>
  <si>
    <t>Tullis_and_Baillie</t>
  </si>
  <si>
    <t>Chondrichthyes</t>
  </si>
  <si>
    <t>Orectolobiformes</t>
  </si>
  <si>
    <t>Hemiscylliidae</t>
  </si>
  <si>
    <t>Chiloscyllium</t>
  </si>
  <si>
    <t>plagiosum</t>
  </si>
  <si>
    <t>whitespotted bamboo shark</t>
  </si>
  <si>
    <t>white swimming muscle</t>
  </si>
  <si>
    <t>U g-tissue-1</t>
  </si>
  <si>
    <t>white muscle crude homogenate; fish muscle protocols of Sidell et al. 1987 modified for elasmobranch tissue after Watson and Dickson 2001; duplicate assays in water-jacketed cuvette holder at 15, 20, 25, and 30C</t>
  </si>
  <si>
    <t>Fig. 2(b) / Table II</t>
  </si>
  <si>
    <t>white muscle citrate synthase activity after stepped-cold acclimation; assays at 15, 20, 25, and 30C</t>
  </si>
  <si>
    <t>Fig. 2(a) / Table II</t>
  </si>
  <si>
    <t>white muscle lactate dehydrogenase activity after warm acclimation; assays at 15, 20, 25, and 30C</t>
  </si>
  <si>
    <t>Rogers</t>
  </si>
  <si>
    <t>Limnodynastidae</t>
  </si>
  <si>
    <t>Limnodynastes</t>
  </si>
  <si>
    <t>peronii</t>
  </si>
  <si>
    <t>striped marsh frog</t>
  </si>
  <si>
    <t>axial (tail) muscle</t>
  </si>
  <si>
    <t>Ultrospec 2100 Pro spectrophotometer with temperature-controlled cuvette holder; 1:100 tissue dilution for LDH; assayed at 10, 20, and 30C</t>
  </si>
  <si>
    <t>Ultrospec 2100 Pro spectrophotometer with temperature-controlled cuvette holder; tissue homogenized 1:19 in extraction buffer; assayed at 10, 20, and 30C</t>
  </si>
  <si>
    <t>liver lactate dehydrogenase activity at 6 weeks; assays conducted at 10, 20, and 30C</t>
  </si>
  <si>
    <t>liver citrate synthase activity at 6 weeks; assays conducted at 10, 20, and 30C</t>
  </si>
  <si>
    <t>Rogers_et_al_2004</t>
  </si>
  <si>
    <t>Tullis_and_Baillie 2005</t>
  </si>
  <si>
    <t>Zakhartsev</t>
  </si>
  <si>
    <t>Zakhartsev_et _al_2004</t>
  </si>
  <si>
    <t>Yan and Xie 2015</t>
  </si>
  <si>
    <t>Schnell and Seebacher 2008 </t>
  </si>
  <si>
    <t>Seebacher et al. 2014 </t>
  </si>
  <si>
    <t>seasonal acclimation paper, not a clean experimental developmental temperature manipulation, even though it measured state III, RCR, and COX in isolated mitochondria.</t>
  </si>
  <si>
    <t xml:space="preserve"> fish were wild-caught spring vs summer juveniles with natural developmental conditions, not an experimentally assigned developmental temperature treatment.</t>
  </si>
  <si>
    <t>no</t>
  </si>
  <si>
    <t>raw</t>
  </si>
  <si>
    <t>View study_notes</t>
  </si>
  <si>
    <t>yes</t>
  </si>
  <si>
    <t>WildNew8</t>
  </si>
  <si>
    <t>white muscle</t>
  </si>
  <si>
    <t>1% crude homogenate in Hepes/KCl buffer; temperature-controlled 96-well microplate reader; saturated NADH, variable pyruvate concentrations, seven assay temperatures, triplicate assays</t>
  </si>
  <si>
    <t>juvenile Senegalese sole; temperature acclimation study with 12, 19, and 26C treatments; used 9 conservatively because figure legend says n = 9-10 per group; temperature changed by 1C/day until target, then fish were held 3 weeks; we did not use the 12C treatment because the animals did not eat, so the clean comparison is 19C fed control vs 26C fed treatment; measured branchial and renal Na+/K+-ATPase activity as SAopt and SAamb (gill arch scraping and posterior kidney homogenates; ouabain-sensitive Na+- and K+-dependent ATPase activity; Flik et al. 1983 adapted to 96-well plates; triplicate assays; SAopt incubated 15 min at 37C; SAamb incubated at acclimation temperature: 20 min at 26C, 30 min at 19C, 45 min at 12C); early life-history fields were estimated for the sheet rather than reported directly in the paper, with prenatal development set to 1.75 d, age at sexual maturity set to 1095 d, postnatal developmental period set to 547.5 d, and life expectancy left as NA.</t>
  </si>
  <si>
    <t>Guderley_and_Seebacher</t>
  </si>
  <si>
    <t>branchial Na+/K+-ATPase activity (SAamb)</t>
  </si>
  <si>
    <t>renal Na+/K+-ATPase activity (SAamb)</t>
  </si>
  <si>
    <t>wild caught juv male fish; three acclimation temps to rep winter, summer, and higher extreme; increased 1-2C day until temp; held for 4 weeks; Measured SOD Lipid peroxidation (MDA/TBARS) and Protein carbonylation; Summer temperature 28 used as control for summer fish; winter temp used for control temp winter; life history estimations came from fish base</t>
  </si>
  <si>
    <t>Paper</t>
  </si>
  <si>
    <t xml:space="preserve">. </t>
  </si>
  <si>
    <t>axial muscle lactate dehydrogenase activity time course; sampled at 3 days</t>
  </si>
  <si>
    <t>axial muscle lactate dehydrogenase activity time course; sampled at 7 days</t>
  </si>
  <si>
    <t>axial muscle lactate dehydrogenase activity time course; sampled at 14 days</t>
  </si>
  <si>
    <t>axial muscle lactate dehydrogenase activity time course; sampled at 21 days</t>
  </si>
  <si>
    <t>axial muscle lactate dehydrogenase activity time course; sampled at 28 days</t>
  </si>
  <si>
    <t>axial muscle lactate dehydrogenase activity time course; sampled at35 days</t>
  </si>
  <si>
    <t>axial muscle lactate dehydrogenase activity time course; sampled at 42 days</t>
  </si>
  <si>
    <t>axial muscle citrate synthase activity time course; sampled at 0 h</t>
  </si>
  <si>
    <t>axial muscle citrate synthase activity time course; sampled at 3h</t>
  </si>
  <si>
    <t>axial muscle citrate synthase activity time course; sampled at 12h</t>
  </si>
  <si>
    <t>axial muscle citrate synthase activity time course; sampled at 24h</t>
  </si>
  <si>
    <t>axial muscle citrate synthase activity time course; sampled at 72 h</t>
  </si>
  <si>
    <t>axial muscle citrate synthase activity time course; sampled at 1 week</t>
  </si>
  <si>
    <t>axial muscle citrate synthase activity time course; sampled at 2 weeks</t>
  </si>
  <si>
    <t>axial muscle citrate synthase activity time course; sampled at 3 weeks</t>
  </si>
  <si>
    <t>axial muscle citrate synthase activity time course; sampled at 4 weeks</t>
  </si>
  <si>
    <t>axial muscle citrate synthase activity time course; sampled at 5 weeks</t>
  </si>
  <si>
    <t>axial muscle citrate synthase activity time course; sampled at 6 weeks</t>
  </si>
  <si>
    <t xml:space="preserve">axial muscle cytochrome c oxidase activity time course; sampled at 0 h </t>
  </si>
  <si>
    <t xml:space="preserve">axial muscle cytochrome c oxidase activity time course; sampled at  3 h,  </t>
  </si>
  <si>
    <t xml:space="preserve">axial muscle cytochrome c oxidase activity time course; sampled at  12 h </t>
  </si>
  <si>
    <t xml:space="preserve">axial muscle cytochrome c oxidase activity time course; sampled at  24 h </t>
  </si>
  <si>
    <t>axial muscle cytochrome c oxidase activity time course; sampled at 72h</t>
  </si>
  <si>
    <t>axial muscle cytochrome c oxidase activity time course; sampled at 1week</t>
  </si>
  <si>
    <t>axial muscle cytochrome c oxidase activity time course; sampled at 2 weeks</t>
  </si>
  <si>
    <t>axial muscle cytochrome c oxidase activity time course; sampled at 3 weeks</t>
  </si>
  <si>
    <t>axial muscle cytochrome c oxidase activity time course; sampled at 4 weeks</t>
  </si>
  <si>
    <t>axial muscle cytochrome c oxidase activity time course; sampled at 5 weeks</t>
  </si>
  <si>
    <t>axial muscle cytochrome c oxidase activity time course; sampled at 6 weeks</t>
  </si>
  <si>
    <t>LDH Vmax of pyruvate reduction in crude white muscle homogenate normalized to total protein; took measurments at assay temp 12</t>
  </si>
  <si>
    <t>Skip_1</t>
  </si>
  <si>
    <t>juvenile estuarine crocodiles from a crocodile farm; mean pre-experiment body mass 172.9 g and mean snout-tail length 422 mm; all animals first held for 4 weeks under common conditions (air 26.7C, water 26.0C, basking 7.5 h/day), then acclimated for 33 days to cold versus warm treatments intended to mimic winter and summer; for extraction I used the compact comparison 20C vs 29C, with t1 = 20 and t2 = 29 as the control, although actual acclimation conditions were air 20.2/water 19.5 with 6 h/day basking versus air 29.5/water 29.2 with 9 h/day basking; one cold-treatment animal did not feed, lost condition, and was excluded by the authors; measured isolated mitochondrial oxygen consumption in liver, tail muscle (longissimus dorsi), and heart ventricle, with State 3 after ADP addition, State 4 after ADP depletion, and RCR = State 3/State 4, using pyruvate and malate substrates and duplicate assays at 20, 25, and 30C; also measured LDH, CcO, and CS in the same tissues by spectrophotometric assays in duplicate at 20, 25, and 30C; mitochondrial and enzyme tissues were collected only at the conclusion of all experiments, after swimming trials across multiple acute temperatures, so treatment-to-measurement delay is not exactly reported and I left those delay/start-end age fields as NA; early life-history fields were estimated for the sheet rather than reported directly in the paper, with prenatal development set to 80 d, age at sexual maturity set to 3650 d, postnatal developmental period set to 1825 d, and life expectancy left as NA. n inferred from dfs; methods report 8 cold and 9 warm; Stage 4 could not determine the error (figure 3 so this was not collected); Control (T2) was determined to be 20 treatment because; Extracted data from 20C</t>
  </si>
  <si>
    <t>Skip_2</t>
  </si>
  <si>
    <t>juvenile estuarine crocodiles; postnatal thermal acclimation study using the same seasonal setup as Glanville et al., with cold treatment around 20C and warm treatment around 29C for 30 days; measured only caudofemoralis muscle for extractable endpoints; LDH and cytochrome c oxidase were measured in fresh muscle homogenates and myofibrillar ATPase was measured in isolated myofibrils; all enzyme assays were run in duplicate at 20 and 30C; this paper also measured muscle mechanics and work-loop power output, but I only included the extractable metabolic endpoints; early life-history fields were estimated as for the other Crocodylus porosus papers, and ATPase units were inferred from the linked-enzyme assay description because the text was less explicit for that assay than for LDH and CCO. figure legend gives n = 8 per acclimation group.Control (T2) was determined to be 20 treatment; Extracted data from 20C tests</t>
  </si>
  <si>
    <t>juvenile American alligators; seasonal thermal acclimation study with cold and warm treatments that produced mean body temperatures of about 20.0C and 29.3C; for the sheet I used the compact comparison 20C vs 29C with 29C as control; paper measured two classes of mitochondrial outcomes in liver and skeletal muscle: first, isolated mitochondrial state 3 respiration with pyruvate and malate plus ADP and oligomycin-inhibited state 4 respiration, and second, flux through respiratory chain complexes measured as complexes 1-4, complexes 2-4 after rotenone plus succinate, and complex IV with TMPD; paper also measured LDH, CcO, and CS activities in caudofemoralis muscle, liver, heart, and duodenum, all assayed at 20 and 30C; I did not include the palmitate, GDP, CAT, and FCCP uncoupling-mechanism sequence as rows for now because those felt more mechanistic than the main comparison outcomes, but we can add them later if you want; early life-history fields were matched to the existing alligator species entry already in your sheet, and treatment duration was estimated at about 74 d from the reported mass gain and growth rate because the paper describes a 3-month experiment but only states a minimum of 6 weeks before biochemical measurements. methods and dfs match cold n = 9, warm n = 8;  Could not determine error bars for state 4 for any of the figures so did not extract these data; Control temp 20C (T2); autor states that all data are shown as mean ± SD at end of methods</t>
  </si>
  <si>
    <t xml:space="preserve">wild-caught juvenile/tadpole striped marsh frogs (Gosner 26-29); held 1 week at 20C then experimental cold treatment dropped to 10C over 6 h while control remained at 20C; sampled at 0 h, 3 h, 12 h, 24 h, 72 h, 1 week, then weekly to 6 weeks; axial muscle taken at all times and liver only at 6 weeks; measured LDH, CS, and CCO at 10, 20, and 30C; I kept direct enzyme activity rows and left Q10 outputs for the summary rather than the sheet for now; early life-history fields were estimated, using embryo duration ~4 d from same-species developmental work and a pragmatic 1-year maturity estimate because maturity was not reported in this paper. 8 tadpoles per treatment at each sampling point. For data extraction Figure 2, I started with time series data before 7 days. I could not determine what the errors were before. I noted in the measurment description what time searies it was. </t>
  </si>
  <si>
    <t>juvenile whitespotted bamboo sharks raised from eggs; normal habitat/control temperature was 24.5C, with a warm treatment at 30C and two cold treatments, including a stepped-cold group moved to 20C for ~4 months and then 15C for ~5 months; temperatures were changed gradually by 1-2C every 3-4 days and feeding was checked before further cooling or warming; enzyme assays were only done on control 24.5C, warm 30C; measured white muscle CS and LDH in duplicate at 15, 20, 25, and 30C after the oxygen-consumption experiments; T2, control, is 24.5   I coded the cold comparison as 15 vs 24.5 using the stepped-cold group, and the warm comparison as 30 vs 24.5. Used assay temperature 25 e.g. fig 2.</t>
  </si>
  <si>
    <t>first-year Norwegian coastal cod were pre-acclimated near 10C, then randomly assigned to 4C or 12C from 19 January 1999 to 7 March 2000 (408 days), so they were still juvenile/subadult rather than adult; white muscle and liver were sampled at the end of acclimation; the clean sheet rows are LDH Vmax normalized to protein and wet mass from Fig. 5; the paper also measured Ldh-B phenotype composition, KPYR, KISPYR, Arrhenius activation energy, activation enthalpy, entropy, and Gibbs free energy, and found no acclimation-induced isozyme switching, so I kept those extra kinetic/thermodynamic details out of the sheet and in the note for now. figure legends/OCR give N = 21 at 4C and N = 15 at 12C. I pulled values from figure 5A  at the T2 temeprature of 12 for liver and muscle</t>
  </si>
  <si>
    <t>Skip_3</t>
  </si>
  <si>
    <t>Skip_4</t>
  </si>
  <si>
    <t>Skip_5</t>
  </si>
  <si>
    <t>Previous paper ID: S53</t>
  </si>
  <si>
    <t>Previous paper ID: N17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</si>
</sst>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19"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font>
    <font>
      <sz val="12"/>
      <color theme="1"/>
      <name val="Calibri"/>
      <family val="2"/>
      <scheme val="minor"/>
    </font>
    <font>
      <sz val="12"/>
      <color rgb="FF000000"/>
      <name val="Calibri"/>
      <family val="2"/>
    </font>
    <font>
      <b/>
      <sz val="12"/>
      <color theme="1"/>
      <name val="Calibri"/>
      <family val="2"/>
    </font>
    <font>
      <sz val="9"/>
      <color indexed="81"/>
      <name val="Tahoma"/>
      <family val="2"/>
    </font>
    <font>
      <b/>
      <sz val="9"/>
      <color indexed="81"/>
      <name val="Tahoma"/>
      <family val="2"/>
    </font>
    <font>
      <b/>
      <sz val="12"/>
      <color theme="1"/>
      <name val="Calibri"/>
      <family val="2"/>
      <scheme val="minor"/>
    </font>
    <font>
      <sz val="12"/>
      <color rgb="FF000000"/>
      <name val="Calibri"/>
      <family val="2"/>
      <scheme val="minor"/>
    </font>
    <font>
      <i/>
      <sz val="12"/>
      <color theme="1"/>
      <name val="Calibri"/>
      <family val="2"/>
      <scheme val="minor"/>
    </font>
    <font>
      <b/>
      <sz val="9"/>
      <color rgb="FF000000"/>
      <name val="Tahoma"/>
      <family val="2"/>
    </font>
    <font>
      <sz val="9"/>
      <color rgb="FF000000"/>
      <name val="Tahoma"/>
      <family val="2"/>
    </font>
    <font>
      <sz val="12"/>
      <color theme="0"/>
      <name val="Calibri"/>
      <family val="2"/>
      <scheme val="minor"/>
    </font>
    <font>
      <sz val="12"/>
      <color theme="1"/>
      <name val="Helvetica"/>
      <family val="2"/>
    </font>
    <font>
      <sz val="12"/>
      <color rgb="FF1A1C1F"/>
      <name val="Calibri"/>
      <family val="2"/>
    </font>
  </fonts>
  <fills count="7">
    <fill>
      <patternFill patternType="none"/>
    </fill>
    <fill>
      <patternFill patternType="gray125"/>
    </fill>
    <fill>
      <patternFill patternType="solid">
        <fgColor theme="0"/>
        <bgColor indexed="64"/>
      </patternFill>
    </fill>
    <fill>
      <patternFill patternType="solid">
        <fgColor rgb="FFDADADA"/>
        <bgColor indexed="64"/>
      </patternFill>
    </fill>
    <fill>
      <patternFill patternType="solid">
        <fgColor theme="9" tint="0.79998168889431442"/>
        <bgColor indexed="64"/>
      </patternFill>
    </fill>
    <fill>
      <patternFill patternType="solid">
        <fgColor rgb="FFDBDBDB"/>
        <bgColor indexed="64"/>
      </patternFill>
    </fill>
    <fill>
      <patternFill patternType="solid">
        <fgColor rgb="FFFF7A74"/>
        <bgColor indexed="64"/>
      </patternFill>
    </fill>
  </fills>
  <borders count="1">
    <border>
      <left/>
      <right/>
      <top/>
      <bottom/>
      <diagonal/>
    </border>
  </borders>
  <cellStyleXfs count="4">
    <xf numFmtId="0" fontId="0" fillId="0" borderId="0"/>
    <xf numFmtId="0" fontId="4" fillId="0" borderId="0"/>
    <xf numFmtId="0" fontId="4" fillId="0" borderId="0"/>
    <xf numFmtId="0" fontId="4" fillId="0" borderId="0"/>
  </cellStyleXfs>
  <cellXfs count="57">
    <xf numFmtId="0" fontId="0" fillId="0" borderId="0" xfId="0"/>
    <xf numFmtId="0" fontId="5" fillId="0" borderId="0" xfId="0" applyFont="1" applyAlignment="1">
      <alignment horizontal="center"/>
    </xf>
    <xf numFmtId="0" fontId="6" fillId="0" borderId="0" xfId="0" applyFont="1"/>
    <xf numFmtId="0" fontId="5" fillId="0" borderId="0" xfId="0" applyFont="1" applyAlignment="1">
      <alignment horizontal="left"/>
    </xf>
    <xf numFmtId="0" fontId="8" fillId="0" borderId="0" xfId="0" applyFont="1"/>
    <xf numFmtId="2" fontId="5" fillId="0" borderId="0" xfId="0" applyNumberFormat="1" applyFont="1" applyAlignment="1">
      <alignment horizontal="center"/>
    </xf>
    <xf numFmtId="164" fontId="5" fillId="0" borderId="0" xfId="0" applyNumberFormat="1" applyFont="1" applyAlignment="1">
      <alignment horizontal="center"/>
    </xf>
    <xf numFmtId="0" fontId="5" fillId="0" borderId="0" xfId="0" applyFont="1"/>
    <xf numFmtId="2" fontId="5" fillId="0" borderId="0" xfId="0" applyNumberFormat="1" applyFont="1"/>
    <xf numFmtId="165" fontId="5" fillId="0" borderId="0" xfId="0" applyNumberFormat="1" applyFont="1" applyAlignment="1">
      <alignment horizontal="center"/>
    </xf>
    <xf numFmtId="0" fontId="5" fillId="2" borderId="0" xfId="0" applyFont="1" applyFill="1" applyAlignment="1">
      <alignment horizontal="center"/>
    </xf>
    <xf numFmtId="166" fontId="5" fillId="0" borderId="0" xfId="0" applyNumberFormat="1" applyFont="1" applyAlignment="1">
      <alignment horizontal="center"/>
    </xf>
    <xf numFmtId="0" fontId="6" fillId="0" borderId="0" xfId="0" quotePrefix="1" applyFont="1"/>
    <xf numFmtId="0" fontId="12" fillId="0" borderId="0" xfId="0" applyFont="1" applyAlignment="1">
      <alignment horizontal="center"/>
    </xf>
    <xf numFmtId="0" fontId="5" fillId="0" borderId="0" xfId="0" applyFont="1" applyAlignment="1">
      <alignment horizontal="center" vertical="center"/>
    </xf>
    <xf numFmtId="0" fontId="3" fillId="0" borderId="0" xfId="0" applyFont="1"/>
    <xf numFmtId="0" fontId="13" fillId="3" borderId="0" xfId="0" applyFont="1" applyFill="1" applyAlignment="1">
      <alignment horizontal="center"/>
    </xf>
    <xf numFmtId="0" fontId="16" fillId="0" borderId="0" xfId="0" applyFont="1" applyAlignment="1">
      <alignment horizontal="center"/>
    </xf>
    <xf numFmtId="0" fontId="17" fillId="0" borderId="0" xfId="0" applyFont="1" applyAlignment="1">
      <alignment horizontal="center"/>
    </xf>
    <xf numFmtId="0" fontId="2" fillId="0" borderId="0" xfId="0" applyFont="1"/>
    <xf numFmtId="0" fontId="2" fillId="0" borderId="0" xfId="0" applyFont="1" applyAlignment="1">
      <alignment horizontal="center"/>
    </xf>
    <xf numFmtId="164" fontId="2" fillId="0" borderId="0" xfId="0" applyNumberFormat="1" applyFont="1" applyAlignment="1">
      <alignment horizontal="center"/>
    </xf>
    <xf numFmtId="164" fontId="2" fillId="3" borderId="0" xfId="0" applyNumberFormat="1" applyFont="1" applyFill="1" applyAlignment="1">
      <alignment horizontal="center"/>
    </xf>
    <xf numFmtId="0" fontId="2" fillId="3" borderId="0" xfId="0" applyFont="1" applyFill="1" applyAlignment="1">
      <alignment horizontal="left"/>
    </xf>
    <xf numFmtId="0" fontId="2" fillId="0" borderId="0" xfId="0" applyFont="1" applyAlignment="1">
      <alignment horizontal="left"/>
    </xf>
    <xf numFmtId="0" fontId="2" fillId="5" borderId="0" xfId="0" applyFont="1" applyFill="1" applyAlignment="1">
      <alignment horizontal="left"/>
    </xf>
    <xf numFmtId="0" fontId="2" fillId="5" borderId="0" xfId="0" applyFont="1" applyFill="1" applyAlignment="1">
      <alignment horizontal="center"/>
    </xf>
    <xf numFmtId="0" fontId="2" fillId="3" borderId="0" xfId="0" applyFont="1" applyFill="1"/>
    <xf numFmtId="0" fontId="2" fillId="5" borderId="0" xfId="0" applyFont="1" applyFill="1"/>
    <xf numFmtId="164" fontId="2" fillId="5" borderId="0" xfId="0" applyNumberFormat="1" applyFont="1" applyFill="1" applyAlignment="1">
      <alignment horizontal="center"/>
    </xf>
    <xf numFmtId="166" fontId="2" fillId="0" borderId="0" xfId="0" applyNumberFormat="1" applyFont="1" applyAlignment="1">
      <alignment horizontal="center"/>
    </xf>
    <xf numFmtId="0" fontId="2" fillId="3" borderId="0" xfId="0" applyFont="1" applyFill="1" applyAlignment="1">
      <alignment horizontal="center"/>
    </xf>
    <xf numFmtId="166" fontId="2" fillId="3" borderId="0" xfId="0" applyNumberFormat="1" applyFont="1" applyFill="1" applyAlignment="1">
      <alignment horizontal="center"/>
    </xf>
    <xf numFmtId="166" fontId="2" fillId="5" borderId="0" xfId="0" applyNumberFormat="1" applyFont="1" applyFill="1" applyAlignment="1">
      <alignment horizontal="center"/>
    </xf>
    <xf numFmtId="0" fontId="5" fillId="0" borderId="0" xfId="0" applyFont="1" applyAlignment="1">
      <alignment horizontal="left" vertical="top"/>
    </xf>
    <xf numFmtId="0" fontId="5" fillId="0" borderId="0" xfId="0" applyFont="1" applyAlignment="1">
      <alignment horizontal="center" vertical="top"/>
    </xf>
    <xf numFmtId="0" fontId="5" fillId="3" borderId="0" xfId="0" applyFont="1" applyFill="1" applyAlignment="1">
      <alignment horizontal="center"/>
    </xf>
    <xf numFmtId="0" fontId="18" fillId="0" borderId="0" xfId="0" applyFont="1" applyAlignment="1">
      <alignment horizontal="left" vertical="top"/>
    </xf>
    <xf numFmtId="0" fontId="18" fillId="0" borderId="0" xfId="0" applyFont="1" applyAlignment="1">
      <alignment horizontal="center" vertical="top"/>
    </xf>
    <xf numFmtId="0" fontId="5" fillId="4" borderId="0" xfId="0" applyFont="1" applyFill="1" applyAlignment="1">
      <alignment horizontal="center"/>
    </xf>
    <xf numFmtId="0" fontId="5" fillId="6" borderId="0" xfId="0" applyFont="1" applyFill="1" applyAlignment="1">
      <alignment horizontal="left" vertical="top"/>
    </xf>
    <xf numFmtId="0" fontId="7" fillId="0" borderId="0" xfId="0" applyFont="1"/>
    <xf numFmtId="164" fontId="5" fillId="3" borderId="0" xfId="0" applyNumberFormat="1" applyFont="1" applyFill="1" applyAlignment="1">
      <alignment horizontal="center"/>
    </xf>
    <xf numFmtId="2" fontId="5" fillId="3" borderId="0" xfId="0" applyNumberFormat="1" applyFont="1" applyFill="1" applyAlignment="1">
      <alignment horizontal="center"/>
    </xf>
    <xf numFmtId="0" fontId="5" fillId="3" borderId="0" xfId="0" applyFont="1" applyFill="1" applyAlignment="1">
      <alignment horizontal="center" vertical="center"/>
    </xf>
    <xf numFmtId="0" fontId="18" fillId="0" borderId="0" xfId="0" applyFont="1"/>
    <xf numFmtId="0" fontId="18" fillId="3" borderId="0" xfId="0" applyFont="1" applyFill="1"/>
    <xf numFmtId="0" fontId="5" fillId="3" borderId="0" xfId="0" applyFont="1" applyFill="1"/>
    <xf numFmtId="0" fontId="18" fillId="5" borderId="0" xfId="0" applyFont="1" applyFill="1"/>
    <xf numFmtId="2" fontId="5" fillId="5" borderId="0" xfId="0" applyNumberFormat="1" applyFont="1" applyFill="1" applyAlignment="1">
      <alignment horizontal="center"/>
    </xf>
    <xf numFmtId="0" fontId="5" fillId="5" borderId="0" xfId="0" applyFont="1" applyFill="1"/>
    <xf numFmtId="164" fontId="5" fillId="5" borderId="0" xfId="0" applyNumberFormat="1" applyFont="1" applyFill="1" applyAlignment="1">
      <alignment horizontal="center"/>
    </xf>
    <xf numFmtId="0" fontId="5" fillId="5" borderId="0" xfId="0" applyFont="1" applyFill="1" applyAlignment="1">
      <alignment horizontal="center" vertical="center"/>
    </xf>
    <xf numFmtId="0" fontId="7" fillId="5" borderId="0" xfId="0" applyFont="1" applyFill="1"/>
    <xf numFmtId="0" fontId="5" fillId="5" borderId="0" xfId="0" applyFont="1" applyFill="1" applyAlignment="1">
      <alignment horizontal="center"/>
    </xf>
    <xf numFmtId="0" fontId="2" fillId="6" borderId="0" xfId="0" applyFont="1" applyFill="1" applyAlignment="1">
      <alignment horizontal="center"/>
    </xf>
    <xf numFmtId="0" fontId="1" fillId="6" borderId="0" xfId="0" applyFont="1" applyFill="1" applyAlignment="1">
      <alignment horizontal="center"/>
    </xf>
  </cellXfs>
  <cellStyles count="4">
    <cellStyle name="Normal" xfId="0" builtinId="0"/>
    <cellStyle name="style1732844551944" xfId="2" xr:uid="{033ACB88-F248-407B-9969-804E6B9A718D}"/>
    <cellStyle name="style1732844552025" xfId="1" xr:uid="{3171EDEC-833D-4A56-9713-2CD61F9FEA47}"/>
    <cellStyle name="style1732858891723" xfId="3" xr:uid="{C395ECA8-C074-4E96-98FA-24C1CA308873}"/>
  </cellStyles>
  <dxfs count="0"/>
  <tableStyles count="0" defaultTableStyle="TableStyleMedium2" defaultPivotStyle="PivotStyleLight16"/>
  <colors>
    <mruColors>
      <color rgb="FFFF7A74"/>
      <color rgb="FFDBDBDB"/>
      <color rgb="FFDADADA"/>
      <color rgb="FF565656"/>
      <color rgb="FFAF21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Ondi Crino" id="{C8C72C29-12BB-41C2-9C50-ED6ED6AA690C}" userId="S::crin0006@flinders.edu.au::14d01f18-b834-4109-ba44-5cbdcf7d2f8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H1" dT="2025-04-01T03:57:08.58" personId="{C8C72C29-12BB-41C2-9C50-ED6ED6AA690C}" id="{BD6DBBF6-CE7F-494A-B9C8-DF431AA14657}">
    <text>Total stress duration (prenatal + postnatal) / total development period (prenatal + postnatal)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002"/>
  <sheetViews>
    <sheetView tabSelected="1" topLeftCell="R1" zoomScaleNormal="100" workbookViewId="0">
      <selection activeCell="A2" sqref="A2"/>
    </sheetView>
  </sheetViews>
  <sheetFormatPr defaultColWidth="11.08203125" defaultRowHeight="15" customHeight="1" x14ac:dyDescent="0.35"/>
  <cols>
    <col min="1" max="1" width="19" style="20" bestFit="1" customWidth="1"/>
    <col min="2" max="2" width="9.5" style="20" customWidth="1"/>
    <col min="3" max="3" width="24.33203125" style="20" customWidth="1"/>
    <col min="4" max="4" width="5" style="20" customWidth="1"/>
    <col min="5" max="5" width="12.33203125" style="20" customWidth="1"/>
    <col min="6" max="6" width="17.33203125" style="20" bestFit="1" customWidth="1"/>
    <col min="7" max="7" width="10.58203125" style="20" customWidth="1"/>
    <col min="8" max="8" width="13.58203125" style="20" bestFit="1" customWidth="1"/>
    <col min="9" max="9" width="16.83203125" style="20" customWidth="1"/>
    <col min="10" max="10" width="17.83203125" style="24" customWidth="1"/>
    <col min="11" max="15" width="15.33203125" style="24" customWidth="1"/>
    <col min="16" max="16" width="15.33203125" style="20" customWidth="1"/>
    <col min="17" max="17" width="9.33203125" style="20" customWidth="1"/>
    <col min="18" max="18" width="15.5" style="20" customWidth="1"/>
    <col min="19" max="20" width="15" style="20" customWidth="1"/>
    <col min="21" max="21" width="13.08203125" style="20" customWidth="1"/>
    <col min="22" max="22" width="17.5" style="20" customWidth="1"/>
    <col min="23" max="23" width="15.83203125" style="20" customWidth="1"/>
    <col min="24" max="24" width="15.5" style="20" customWidth="1"/>
    <col min="25" max="25" width="13" style="20" customWidth="1"/>
    <col min="26" max="27" width="15.5" style="20" customWidth="1"/>
    <col min="28" max="28" width="19.58203125" style="30" bestFit="1" customWidth="1"/>
    <col min="29" max="29" width="19" style="30" hidden="1" customWidth="1"/>
    <col min="30" max="30" width="23.58203125" style="30" hidden="1" customWidth="1"/>
    <col min="31" max="31" width="21.58203125" style="30" hidden="1" customWidth="1"/>
    <col min="32" max="32" width="20.83203125" style="30" hidden="1" customWidth="1"/>
    <col min="33" max="34" width="24.58203125" style="30" hidden="1" customWidth="1"/>
    <col min="35" max="35" width="21.5" style="20" customWidth="1"/>
    <col min="36" max="36" width="22.5" style="20" customWidth="1"/>
    <col min="37" max="37" width="16.33203125" style="20" customWidth="1"/>
    <col min="38" max="38" width="20.58203125" style="20" hidden="1" customWidth="1"/>
    <col min="39" max="39" width="14.33203125" style="20" customWidth="1"/>
    <col min="40" max="40" width="19.58203125" style="20" customWidth="1"/>
    <col min="41" max="41" width="14.33203125" style="20" customWidth="1"/>
    <col min="42" max="42" width="9.08203125" style="20" customWidth="1"/>
    <col min="43" max="43" width="13" style="20" customWidth="1"/>
    <col min="44" max="44" width="18.33203125" style="20" customWidth="1"/>
    <col min="45" max="45" width="10.5" style="20" customWidth="1"/>
    <col min="46" max="46" width="23.5" style="20" bestFit="1" customWidth="1"/>
    <col min="47" max="47" width="18.08203125" style="20" customWidth="1"/>
    <col min="48" max="48" width="15" style="20" bestFit="1" customWidth="1"/>
    <col min="49" max="49" width="13.58203125" style="20" bestFit="1" customWidth="1"/>
    <col min="50" max="50" width="8.83203125" style="20" customWidth="1"/>
    <col min="51" max="51" width="20.58203125" style="20" bestFit="1" customWidth="1"/>
    <col min="52" max="52" width="18.25" style="20" bestFit="1" customWidth="1"/>
    <col min="53" max="53" width="6.58203125" style="20" customWidth="1"/>
    <col min="54" max="54" width="33" style="20" bestFit="1" customWidth="1"/>
    <col min="55" max="55" width="25.5" style="17" bestFit="1" customWidth="1"/>
    <col min="56" max="56" width="33.58203125" style="19" customWidth="1"/>
    <col min="57" max="57" width="35.5" style="20" bestFit="1" customWidth="1"/>
    <col min="58" max="58" width="10.08203125" style="19" customWidth="1"/>
    <col min="59" max="59" width="11.33203125" style="20" customWidth="1"/>
    <col min="60" max="60" width="17.08203125" style="20" customWidth="1"/>
    <col min="61" max="61" width="18.33203125" style="20" customWidth="1"/>
    <col min="62" max="62" width="3.83203125" style="1" customWidth="1"/>
    <col min="63" max="63" width="3.58203125" style="1" customWidth="1"/>
    <col min="64" max="64" width="12.33203125" style="5" bestFit="1" customWidth="1"/>
    <col min="65" max="65" width="11.08203125" style="1" customWidth="1"/>
    <col min="66" max="66" width="4.08203125" style="1" customWidth="1"/>
    <col min="67" max="67" width="13" style="6" customWidth="1"/>
    <col min="68" max="68" width="6.08203125" style="5" customWidth="1"/>
    <col min="69" max="69" width="12.33203125" style="5" customWidth="1"/>
    <col min="70" max="70" width="10.58203125" style="6" customWidth="1"/>
    <col min="71" max="71" width="6.08203125" style="14" bestFit="1" customWidth="1"/>
    <col min="72" max="72" width="11.83203125" style="6" bestFit="1" customWidth="1"/>
    <col min="73" max="73" width="8" style="21" customWidth="1"/>
    <col min="74" max="74" width="14.33203125" style="20" bestFit="1" customWidth="1"/>
    <col min="75" max="75" width="14.33203125" style="20" customWidth="1"/>
    <col min="76" max="76" width="22.58203125" style="20" bestFit="1" customWidth="1"/>
    <col min="77" max="77" width="10.08203125" style="20" customWidth="1"/>
    <col min="78" max="78" width="12.08203125" style="24" customWidth="1"/>
    <col min="79" max="16384" width="11.08203125" style="20"/>
  </cols>
  <sheetData>
    <row r="1" spans="1:78" ht="15.75" customHeight="1" x14ac:dyDescent="0.35">
      <c r="A1" s="20" t="s">
        <v>231</v>
      </c>
      <c r="B1" s="1" t="s">
        <v>0</v>
      </c>
      <c r="C1" s="1" t="s">
        <v>1</v>
      </c>
      <c r="D1" s="1" t="s">
        <v>2</v>
      </c>
      <c r="E1" s="1" t="s">
        <v>3</v>
      </c>
      <c r="F1" s="1" t="s">
        <v>4</v>
      </c>
      <c r="G1" s="1" t="s">
        <v>5</v>
      </c>
      <c r="H1" s="1" t="s">
        <v>6</v>
      </c>
      <c r="I1" s="1" t="s">
        <v>7</v>
      </c>
      <c r="J1" s="3" t="s">
        <v>8</v>
      </c>
      <c r="K1" s="3" t="s">
        <v>187</v>
      </c>
      <c r="L1" s="3" t="s">
        <v>188</v>
      </c>
      <c r="M1" s="3" t="s">
        <v>186</v>
      </c>
      <c r="N1" s="3" t="s">
        <v>197</v>
      </c>
      <c r="O1" s="3" t="s">
        <v>189</v>
      </c>
      <c r="P1" s="1" t="s">
        <v>9</v>
      </c>
      <c r="Q1" s="20" t="s">
        <v>10</v>
      </c>
      <c r="R1" s="1" t="s">
        <v>70</v>
      </c>
      <c r="S1" s="1" t="s">
        <v>71</v>
      </c>
      <c r="T1" s="1" t="s">
        <v>78</v>
      </c>
      <c r="U1" s="1" t="s">
        <v>76</v>
      </c>
      <c r="V1" s="1" t="s">
        <v>72</v>
      </c>
      <c r="W1" s="1" t="s">
        <v>73</v>
      </c>
      <c r="X1" s="1" t="s">
        <v>69</v>
      </c>
      <c r="Y1" s="1" t="s">
        <v>75</v>
      </c>
      <c r="Z1" s="1" t="s">
        <v>74</v>
      </c>
      <c r="AA1" s="1" t="s">
        <v>77</v>
      </c>
      <c r="AB1" s="11" t="s">
        <v>191</v>
      </c>
      <c r="AC1" s="11" t="s">
        <v>190</v>
      </c>
      <c r="AD1" s="11" t="s">
        <v>196</v>
      </c>
      <c r="AE1" s="11" t="s">
        <v>193</v>
      </c>
      <c r="AF1" s="11" t="s">
        <v>194</v>
      </c>
      <c r="AG1" s="11" t="s">
        <v>192</v>
      </c>
      <c r="AH1" s="11" t="s">
        <v>195</v>
      </c>
      <c r="AI1" s="1" t="s">
        <v>81</v>
      </c>
      <c r="AJ1" s="1" t="s">
        <v>82</v>
      </c>
      <c r="AK1" s="1" t="s">
        <v>11</v>
      </c>
      <c r="AL1" s="1" t="s">
        <v>198</v>
      </c>
      <c r="AM1" s="1" t="s">
        <v>12</v>
      </c>
      <c r="AN1" s="1" t="s">
        <v>138</v>
      </c>
      <c r="AO1" s="1" t="s">
        <v>137</v>
      </c>
      <c r="AP1" s="1" t="s">
        <v>13</v>
      </c>
      <c r="AQ1" s="1" t="s">
        <v>123</v>
      </c>
      <c r="AR1" s="1" t="s">
        <v>124</v>
      </c>
      <c r="AS1" s="3" t="s">
        <v>122</v>
      </c>
      <c r="AT1" s="1" t="s">
        <v>87</v>
      </c>
      <c r="AU1" s="20" t="s">
        <v>14</v>
      </c>
      <c r="AV1" s="20" t="s">
        <v>156</v>
      </c>
      <c r="AW1" s="20" t="s">
        <v>228</v>
      </c>
      <c r="AX1" s="20" t="s">
        <v>164</v>
      </c>
      <c r="AY1" s="20" t="s">
        <v>160</v>
      </c>
      <c r="AZ1" s="20" t="s">
        <v>165</v>
      </c>
      <c r="BA1" s="20" t="s">
        <v>167</v>
      </c>
      <c r="BB1" s="20" t="s">
        <v>162</v>
      </c>
      <c r="BC1" s="10" t="s">
        <v>60</v>
      </c>
      <c r="BD1" s="7" t="s">
        <v>15</v>
      </c>
      <c r="BE1" s="1" t="s">
        <v>16</v>
      </c>
      <c r="BF1" s="7" t="s">
        <v>17</v>
      </c>
      <c r="BG1" s="1" t="s">
        <v>18</v>
      </c>
      <c r="BH1" s="1" t="s">
        <v>19</v>
      </c>
      <c r="BI1" s="1" t="s">
        <v>20</v>
      </c>
      <c r="BJ1" s="1" t="s">
        <v>21</v>
      </c>
      <c r="BK1" s="1" t="s">
        <v>16</v>
      </c>
      <c r="BL1" s="5" t="s">
        <v>22</v>
      </c>
      <c r="BM1" s="1" t="s">
        <v>23</v>
      </c>
      <c r="BN1" s="1" t="s">
        <v>24</v>
      </c>
      <c r="BO1" s="6" t="s">
        <v>25</v>
      </c>
      <c r="BP1" s="5" t="s">
        <v>93</v>
      </c>
      <c r="BQ1" s="5" t="s">
        <v>26</v>
      </c>
      <c r="BR1" s="6" t="s">
        <v>27</v>
      </c>
      <c r="BS1" s="14" t="s">
        <v>28</v>
      </c>
      <c r="BT1" s="6" t="s">
        <v>29</v>
      </c>
      <c r="BU1" s="6" t="s">
        <v>94</v>
      </c>
      <c r="BV1" s="1" t="s">
        <v>30</v>
      </c>
      <c r="BW1" s="1" t="s">
        <v>159</v>
      </c>
      <c r="BX1" s="1" t="s">
        <v>31</v>
      </c>
      <c r="BY1" s="3" t="s">
        <v>130</v>
      </c>
      <c r="BZ1" s="3" t="s">
        <v>269</v>
      </c>
    </row>
    <row r="2" spans="1:78" ht="15" customHeight="1" x14ac:dyDescent="0.35">
      <c r="B2" s="20" t="s">
        <v>237</v>
      </c>
      <c r="C2" s="18" t="s">
        <v>295</v>
      </c>
      <c r="D2" s="20">
        <v>2016</v>
      </c>
      <c r="E2" s="20" t="s">
        <v>91</v>
      </c>
      <c r="F2" s="20" t="s">
        <v>232</v>
      </c>
      <c r="G2" s="20" t="s">
        <v>233</v>
      </c>
      <c r="H2" s="20" t="s">
        <v>234</v>
      </c>
      <c r="I2" s="20" t="s">
        <v>235</v>
      </c>
      <c r="J2" s="19" t="s">
        <v>236</v>
      </c>
      <c r="K2" s="24">
        <v>24.5</v>
      </c>
      <c r="L2" s="24">
        <v>35</v>
      </c>
      <c r="M2" s="24">
        <v>35</v>
      </c>
      <c r="N2" s="24">
        <v>365</v>
      </c>
      <c r="O2" s="24" t="s">
        <v>34</v>
      </c>
      <c r="P2" s="20" t="s">
        <v>32</v>
      </c>
      <c r="Q2" s="20" t="s">
        <v>33</v>
      </c>
      <c r="R2" s="20" t="s">
        <v>119</v>
      </c>
      <c r="S2" s="20" t="s">
        <v>119</v>
      </c>
      <c r="T2" s="20" t="s">
        <v>119</v>
      </c>
      <c r="U2" s="20" t="s">
        <v>119</v>
      </c>
      <c r="V2" s="20">
        <v>35</v>
      </c>
      <c r="W2" s="20">
        <f>V2+28</f>
        <v>63</v>
      </c>
      <c r="X2" s="20">
        <v>28</v>
      </c>
      <c r="Y2" s="20" t="s">
        <v>34</v>
      </c>
      <c r="Z2" s="20">
        <v>28</v>
      </c>
      <c r="AA2" s="20" t="s">
        <v>34</v>
      </c>
      <c r="AB2" s="30" t="s">
        <v>119</v>
      </c>
      <c r="AE2" s="30">
        <f>V2/L2</f>
        <v>1</v>
      </c>
      <c r="AF2" s="30">
        <f>W2/L2</f>
        <v>1.8</v>
      </c>
      <c r="AG2" s="30">
        <f>X2/L2</f>
        <v>0.8</v>
      </c>
      <c r="AH2" s="30">
        <f>Z2/(L2+K2)</f>
        <v>0.47058823529411764</v>
      </c>
      <c r="AI2" s="20" t="s">
        <v>119</v>
      </c>
      <c r="AJ2" s="20">
        <v>0</v>
      </c>
      <c r="AK2" s="20" t="s">
        <v>34</v>
      </c>
      <c r="AL2" s="20">
        <f t="shared" ref="AL2" si="0">(IF(AI2="NA",AJ2/L2,IF(AJ2="NA",AI2/K2,AJ2/L2)))</f>
        <v>0</v>
      </c>
      <c r="AM2" s="20" t="s">
        <v>37</v>
      </c>
      <c r="AN2" s="20" t="s">
        <v>119</v>
      </c>
      <c r="AO2" s="20" t="s">
        <v>119</v>
      </c>
      <c r="AP2" s="20" t="s">
        <v>120</v>
      </c>
      <c r="AQ2" s="20" t="s">
        <v>119</v>
      </c>
      <c r="AR2" s="20" t="s">
        <v>119</v>
      </c>
      <c r="AS2" s="20">
        <v>1</v>
      </c>
      <c r="AT2" s="1" t="s">
        <v>58</v>
      </c>
      <c r="AU2" s="20" t="s">
        <v>92</v>
      </c>
      <c r="AV2" s="20" t="s">
        <v>158</v>
      </c>
      <c r="AW2" s="20" t="s">
        <v>119</v>
      </c>
      <c r="AX2" s="55">
        <v>1</v>
      </c>
      <c r="AY2" s="20" t="s">
        <v>119</v>
      </c>
      <c r="AZ2" s="20" t="s">
        <v>166</v>
      </c>
      <c r="BA2" s="20" t="s">
        <v>119</v>
      </c>
      <c r="BB2" s="20" t="s">
        <v>64</v>
      </c>
      <c r="BC2" s="20" t="s">
        <v>65</v>
      </c>
      <c r="BD2" s="19" t="s">
        <v>121</v>
      </c>
      <c r="BE2" s="1" t="s">
        <v>244</v>
      </c>
      <c r="BF2" s="19" t="s">
        <v>238</v>
      </c>
      <c r="BG2" s="20" t="s">
        <v>246</v>
      </c>
      <c r="BH2" s="20">
        <v>18</v>
      </c>
      <c r="BI2" s="20">
        <v>28</v>
      </c>
      <c r="BJ2" s="1">
        <f>BH2-BI2</f>
        <v>-10</v>
      </c>
      <c r="BK2" s="1" t="s">
        <v>262</v>
      </c>
      <c r="BL2" s="7">
        <v>0.68027210884353495</v>
      </c>
      <c r="BM2" s="7">
        <v>0.17998308231292331</v>
      </c>
      <c r="BN2" s="1">
        <v>7</v>
      </c>
      <c r="BO2" s="41">
        <v>6.802721088435304E-2</v>
      </c>
      <c r="BP2" s="9" t="s">
        <v>119</v>
      </c>
      <c r="BQ2" s="7">
        <v>1.36</v>
      </c>
      <c r="BR2" s="7">
        <v>0.31749016000000002</v>
      </c>
      <c r="BS2" s="14">
        <v>7</v>
      </c>
      <c r="BT2" s="7">
        <v>0.12</v>
      </c>
      <c r="BU2" s="21" t="s">
        <v>119</v>
      </c>
      <c r="BV2" s="20">
        <v>1</v>
      </c>
      <c r="BW2" s="20" t="s">
        <v>362</v>
      </c>
      <c r="BX2" s="20" t="s">
        <v>363</v>
      </c>
      <c r="BY2" s="20" t="s">
        <v>119</v>
      </c>
      <c r="BZ2" s="24" t="s">
        <v>364</v>
      </c>
    </row>
    <row r="3" spans="1:78" ht="15" customHeight="1" x14ac:dyDescent="0.35">
      <c r="B3" s="20" t="s">
        <v>237</v>
      </c>
      <c r="C3" s="18" t="s">
        <v>295</v>
      </c>
      <c r="D3" s="20">
        <v>2016</v>
      </c>
      <c r="E3" s="20" t="s">
        <v>91</v>
      </c>
      <c r="F3" s="20" t="s">
        <v>232</v>
      </c>
      <c r="G3" s="20" t="s">
        <v>233</v>
      </c>
      <c r="H3" s="20" t="s">
        <v>234</v>
      </c>
      <c r="I3" s="20" t="s">
        <v>235</v>
      </c>
      <c r="J3" s="19" t="s">
        <v>236</v>
      </c>
      <c r="K3" s="24">
        <v>24.5</v>
      </c>
      <c r="L3" s="24">
        <v>35</v>
      </c>
      <c r="M3" s="24">
        <v>35</v>
      </c>
      <c r="N3" s="24">
        <v>365</v>
      </c>
      <c r="O3" s="24" t="s">
        <v>34</v>
      </c>
      <c r="P3" s="20" t="s">
        <v>32</v>
      </c>
      <c r="Q3" s="20" t="s">
        <v>33</v>
      </c>
      <c r="R3" s="20" t="s">
        <v>119</v>
      </c>
      <c r="S3" s="20" t="s">
        <v>119</v>
      </c>
      <c r="T3" s="20" t="s">
        <v>119</v>
      </c>
      <c r="U3" s="20" t="s">
        <v>119</v>
      </c>
      <c r="V3" s="20">
        <v>35</v>
      </c>
      <c r="W3" s="20">
        <f t="shared" ref="W3:W11" si="1">V3+28</f>
        <v>63</v>
      </c>
      <c r="X3" s="20">
        <v>28</v>
      </c>
      <c r="Y3" s="20" t="s">
        <v>34</v>
      </c>
      <c r="Z3" s="20">
        <v>28</v>
      </c>
      <c r="AA3" s="20" t="s">
        <v>34</v>
      </c>
      <c r="AB3" s="30" t="s">
        <v>119</v>
      </c>
      <c r="AI3" s="20" t="s">
        <v>119</v>
      </c>
      <c r="AJ3" s="20">
        <v>0</v>
      </c>
      <c r="AK3" s="20" t="s">
        <v>34</v>
      </c>
      <c r="AM3" s="20" t="s">
        <v>37</v>
      </c>
      <c r="AN3" s="20" t="s">
        <v>119</v>
      </c>
      <c r="AO3" s="20" t="s">
        <v>119</v>
      </c>
      <c r="AP3" s="20" t="s">
        <v>120</v>
      </c>
      <c r="AQ3" s="20" t="s">
        <v>119</v>
      </c>
      <c r="AR3" s="20" t="s">
        <v>119</v>
      </c>
      <c r="AS3" s="20">
        <v>1</v>
      </c>
      <c r="AT3" s="1" t="s">
        <v>58</v>
      </c>
      <c r="AU3" s="20" t="s">
        <v>92</v>
      </c>
      <c r="AV3" s="20" t="s">
        <v>158</v>
      </c>
      <c r="AW3" s="20" t="s">
        <v>119</v>
      </c>
      <c r="AX3" s="55">
        <v>1</v>
      </c>
      <c r="AY3" s="20" t="s">
        <v>119</v>
      </c>
      <c r="AZ3" s="20" t="s">
        <v>166</v>
      </c>
      <c r="BA3" s="20" t="s">
        <v>119</v>
      </c>
      <c r="BB3" s="20" t="s">
        <v>64</v>
      </c>
      <c r="BC3" s="20" t="s">
        <v>65</v>
      </c>
      <c r="BD3" s="19" t="s">
        <v>121</v>
      </c>
      <c r="BE3" s="1" t="s">
        <v>244</v>
      </c>
      <c r="BF3" s="19" t="s">
        <v>238</v>
      </c>
      <c r="BG3" s="20" t="s">
        <v>247</v>
      </c>
      <c r="BH3" s="20">
        <v>32</v>
      </c>
      <c r="BI3" s="20">
        <v>28</v>
      </c>
      <c r="BJ3" s="1">
        <f t="shared" ref="BJ3:BJ5" si="2">BH3-BI3</f>
        <v>4</v>
      </c>
      <c r="BK3" s="1" t="s">
        <v>262</v>
      </c>
      <c r="BL3" s="7">
        <v>8.0952380952380896</v>
      </c>
      <c r="BM3" s="7">
        <v>3.5996616462584936</v>
      </c>
      <c r="BN3" s="1">
        <v>7</v>
      </c>
      <c r="BO3" s="1">
        <v>1.360544217687071</v>
      </c>
      <c r="BP3" s="9" t="s">
        <v>119</v>
      </c>
      <c r="BQ3" s="7">
        <v>1.36</v>
      </c>
      <c r="BR3" s="7">
        <v>0.31749016000000002</v>
      </c>
      <c r="BS3" s="14">
        <v>7</v>
      </c>
      <c r="BT3" s="7">
        <v>0.12</v>
      </c>
      <c r="BU3" s="21" t="s">
        <v>119</v>
      </c>
      <c r="BV3" s="20">
        <v>1</v>
      </c>
      <c r="BW3" s="20" t="s">
        <v>362</v>
      </c>
      <c r="BX3" s="20" t="s">
        <v>363</v>
      </c>
      <c r="BY3" s="20" t="s">
        <v>119</v>
      </c>
      <c r="BZ3" s="24" t="s">
        <v>364</v>
      </c>
    </row>
    <row r="4" spans="1:78" ht="15" customHeight="1" x14ac:dyDescent="0.35">
      <c r="B4" s="20" t="s">
        <v>237</v>
      </c>
      <c r="C4" s="18" t="s">
        <v>295</v>
      </c>
      <c r="D4" s="20">
        <v>2016</v>
      </c>
      <c r="E4" s="20" t="s">
        <v>91</v>
      </c>
      <c r="F4" s="20" t="s">
        <v>232</v>
      </c>
      <c r="G4" s="20" t="s">
        <v>233</v>
      </c>
      <c r="H4" s="20" t="s">
        <v>234</v>
      </c>
      <c r="I4" s="20" t="s">
        <v>235</v>
      </c>
      <c r="J4" s="19" t="s">
        <v>236</v>
      </c>
      <c r="K4" s="24">
        <v>24.5</v>
      </c>
      <c r="L4" s="24">
        <v>35</v>
      </c>
      <c r="M4" s="24">
        <v>35</v>
      </c>
      <c r="N4" s="24">
        <v>365</v>
      </c>
      <c r="O4" s="24" t="s">
        <v>34</v>
      </c>
      <c r="P4" s="20" t="s">
        <v>32</v>
      </c>
      <c r="Q4" s="20" t="s">
        <v>33</v>
      </c>
      <c r="R4" s="20" t="s">
        <v>119</v>
      </c>
      <c r="S4" s="20" t="s">
        <v>119</v>
      </c>
      <c r="T4" s="20" t="s">
        <v>119</v>
      </c>
      <c r="U4" s="20" t="s">
        <v>119</v>
      </c>
      <c r="V4" s="20">
        <v>35</v>
      </c>
      <c r="W4" s="20">
        <f t="shared" si="1"/>
        <v>63</v>
      </c>
      <c r="X4" s="20">
        <v>28</v>
      </c>
      <c r="Y4" s="20" t="s">
        <v>34</v>
      </c>
      <c r="Z4" s="20">
        <v>28</v>
      </c>
      <c r="AA4" s="20" t="s">
        <v>34</v>
      </c>
      <c r="AB4" s="30" t="s">
        <v>119</v>
      </c>
      <c r="AI4" s="20" t="s">
        <v>119</v>
      </c>
      <c r="AJ4" s="20">
        <v>0</v>
      </c>
      <c r="AK4" s="20" t="s">
        <v>34</v>
      </c>
      <c r="AM4" s="20" t="s">
        <v>37</v>
      </c>
      <c r="AN4" s="20" t="s">
        <v>119</v>
      </c>
      <c r="AO4" s="20" t="s">
        <v>119</v>
      </c>
      <c r="AP4" s="20" t="s">
        <v>120</v>
      </c>
      <c r="AQ4" s="20" t="s">
        <v>119</v>
      </c>
      <c r="AR4" s="20" t="s">
        <v>119</v>
      </c>
      <c r="AS4" s="20">
        <v>1</v>
      </c>
      <c r="AT4" s="1" t="s">
        <v>58</v>
      </c>
      <c r="AU4" s="20" t="s">
        <v>92</v>
      </c>
      <c r="AV4" s="20" t="s">
        <v>158</v>
      </c>
      <c r="AW4" s="20" t="s">
        <v>119</v>
      </c>
      <c r="AX4" s="55">
        <v>1</v>
      </c>
      <c r="AY4" s="20" t="s">
        <v>119</v>
      </c>
      <c r="AZ4" s="20" t="s">
        <v>166</v>
      </c>
      <c r="BA4" s="20" t="s">
        <v>119</v>
      </c>
      <c r="BB4" s="20" t="s">
        <v>64</v>
      </c>
      <c r="BC4" s="20" t="s">
        <v>65</v>
      </c>
      <c r="BD4" s="19" t="s">
        <v>121</v>
      </c>
      <c r="BE4" s="1" t="s">
        <v>244</v>
      </c>
      <c r="BF4" s="19" t="s">
        <v>238</v>
      </c>
      <c r="BG4" s="20" t="s">
        <v>248</v>
      </c>
      <c r="BH4" s="20">
        <v>28</v>
      </c>
      <c r="BI4" s="20">
        <v>18</v>
      </c>
      <c r="BJ4" s="1">
        <f t="shared" si="2"/>
        <v>10</v>
      </c>
      <c r="BK4" s="1" t="s">
        <v>262</v>
      </c>
      <c r="BL4" s="7">
        <v>2.5580095051719201</v>
      </c>
      <c r="BM4" s="7">
        <v>1.4497267452054736</v>
      </c>
      <c r="BN4" s="1">
        <v>7</v>
      </c>
      <c r="BO4" s="6">
        <v>0.5479452054794498</v>
      </c>
      <c r="BP4" s="9" t="s">
        <v>119</v>
      </c>
      <c r="BQ4" s="7">
        <v>1.34697728427317</v>
      </c>
      <c r="BR4" s="7">
        <v>0.63748416787864726</v>
      </c>
      <c r="BS4" s="14">
        <v>7</v>
      </c>
      <c r="BT4" s="7">
        <v>0.24094636766093003</v>
      </c>
      <c r="BU4" s="21" t="s">
        <v>119</v>
      </c>
      <c r="BV4" s="20">
        <v>1</v>
      </c>
      <c r="BW4" s="20" t="s">
        <v>362</v>
      </c>
      <c r="BX4" s="20" t="s">
        <v>363</v>
      </c>
      <c r="BY4" s="20" t="s">
        <v>119</v>
      </c>
      <c r="BZ4" s="24" t="s">
        <v>364</v>
      </c>
    </row>
    <row r="5" spans="1:78" ht="15" customHeight="1" x14ac:dyDescent="0.35">
      <c r="B5" s="20" t="s">
        <v>237</v>
      </c>
      <c r="C5" s="18" t="s">
        <v>295</v>
      </c>
      <c r="D5" s="20">
        <v>2016</v>
      </c>
      <c r="E5" s="20" t="s">
        <v>91</v>
      </c>
      <c r="F5" s="20" t="s">
        <v>232</v>
      </c>
      <c r="G5" s="20" t="s">
        <v>233</v>
      </c>
      <c r="H5" s="20" t="s">
        <v>234</v>
      </c>
      <c r="I5" s="20" t="s">
        <v>235</v>
      </c>
      <c r="J5" s="19" t="s">
        <v>236</v>
      </c>
      <c r="K5" s="24">
        <v>24.5</v>
      </c>
      <c r="L5" s="24">
        <v>35</v>
      </c>
      <c r="M5" s="24">
        <v>35</v>
      </c>
      <c r="N5" s="24">
        <v>365</v>
      </c>
      <c r="O5" s="24" t="s">
        <v>34</v>
      </c>
      <c r="P5" s="20" t="s">
        <v>32</v>
      </c>
      <c r="Q5" s="20" t="s">
        <v>33</v>
      </c>
      <c r="R5" s="20" t="s">
        <v>119</v>
      </c>
      <c r="S5" s="20" t="s">
        <v>119</v>
      </c>
      <c r="T5" s="20" t="s">
        <v>119</v>
      </c>
      <c r="U5" s="20" t="s">
        <v>119</v>
      </c>
      <c r="V5" s="20">
        <v>35</v>
      </c>
      <c r="W5" s="20">
        <f t="shared" si="1"/>
        <v>63</v>
      </c>
      <c r="X5" s="20">
        <v>28</v>
      </c>
      <c r="Y5" s="20" t="s">
        <v>34</v>
      </c>
      <c r="Z5" s="20">
        <v>28</v>
      </c>
      <c r="AA5" s="20" t="s">
        <v>34</v>
      </c>
      <c r="AB5" s="30" t="s">
        <v>119</v>
      </c>
      <c r="AI5" s="20" t="s">
        <v>119</v>
      </c>
      <c r="AJ5" s="20">
        <v>0</v>
      </c>
      <c r="AK5" s="20" t="s">
        <v>34</v>
      </c>
      <c r="AM5" s="20" t="s">
        <v>37</v>
      </c>
      <c r="AN5" s="20" t="s">
        <v>119</v>
      </c>
      <c r="AO5" s="20" t="s">
        <v>119</v>
      </c>
      <c r="AP5" s="20" t="s">
        <v>120</v>
      </c>
      <c r="AQ5" s="20" t="s">
        <v>119</v>
      </c>
      <c r="AR5" s="20" t="s">
        <v>119</v>
      </c>
      <c r="AS5" s="20">
        <v>1</v>
      </c>
      <c r="AT5" s="1" t="s">
        <v>58</v>
      </c>
      <c r="AU5" s="20" t="s">
        <v>92</v>
      </c>
      <c r="AV5" s="20" t="s">
        <v>158</v>
      </c>
      <c r="AW5" s="20" t="s">
        <v>119</v>
      </c>
      <c r="AX5" s="55">
        <v>1</v>
      </c>
      <c r="AY5" s="20" t="s">
        <v>119</v>
      </c>
      <c r="AZ5" s="20" t="s">
        <v>166</v>
      </c>
      <c r="BA5" s="20" t="s">
        <v>119</v>
      </c>
      <c r="BB5" s="20" t="s">
        <v>64</v>
      </c>
      <c r="BC5" s="20" t="s">
        <v>65</v>
      </c>
      <c r="BD5" s="19" t="s">
        <v>121</v>
      </c>
      <c r="BE5" s="1" t="s">
        <v>244</v>
      </c>
      <c r="BF5" s="19" t="s">
        <v>238</v>
      </c>
      <c r="BG5" s="20" t="s">
        <v>249</v>
      </c>
      <c r="BH5" s="20">
        <v>32</v>
      </c>
      <c r="BI5" s="20">
        <v>18</v>
      </c>
      <c r="BJ5" s="1">
        <f t="shared" si="2"/>
        <v>14</v>
      </c>
      <c r="BK5" s="1" t="s">
        <v>262</v>
      </c>
      <c r="BL5" s="7">
        <v>5.7415431926195</v>
      </c>
      <c r="BM5" s="7">
        <v>1.9952234159141662</v>
      </c>
      <c r="BN5" s="1">
        <v>7</v>
      </c>
      <c r="BO5" s="6">
        <v>0.75412356723511031</v>
      </c>
      <c r="BP5" s="9" t="s">
        <v>119</v>
      </c>
      <c r="BQ5" s="7">
        <v>1.34697728427317</v>
      </c>
      <c r="BR5" s="7">
        <v>0.63748416787864726</v>
      </c>
      <c r="BS5" s="14">
        <v>7</v>
      </c>
      <c r="BT5" s="7">
        <v>0.24094636766093003</v>
      </c>
      <c r="BU5" s="21" t="s">
        <v>119</v>
      </c>
      <c r="BV5" s="20">
        <v>1</v>
      </c>
      <c r="BW5" s="20" t="s">
        <v>362</v>
      </c>
      <c r="BX5" s="20" t="s">
        <v>363</v>
      </c>
      <c r="BY5" s="20" t="s">
        <v>119</v>
      </c>
      <c r="BZ5" s="24" t="s">
        <v>364</v>
      </c>
    </row>
    <row r="6" spans="1:78" ht="15" customHeight="1" x14ac:dyDescent="0.35">
      <c r="B6" s="20" t="s">
        <v>237</v>
      </c>
      <c r="C6" s="18" t="s">
        <v>295</v>
      </c>
      <c r="D6" s="20">
        <v>2016</v>
      </c>
      <c r="E6" s="20" t="s">
        <v>91</v>
      </c>
      <c r="F6" s="20" t="s">
        <v>232</v>
      </c>
      <c r="G6" s="20" t="s">
        <v>233</v>
      </c>
      <c r="H6" s="20" t="s">
        <v>234</v>
      </c>
      <c r="I6" s="20" t="s">
        <v>235</v>
      </c>
      <c r="J6" s="19" t="s">
        <v>236</v>
      </c>
      <c r="K6" s="24">
        <v>24.5</v>
      </c>
      <c r="L6" s="24">
        <v>35</v>
      </c>
      <c r="M6" s="24">
        <v>35</v>
      </c>
      <c r="N6" s="24">
        <v>365</v>
      </c>
      <c r="O6" s="24" t="s">
        <v>34</v>
      </c>
      <c r="P6" s="20" t="s">
        <v>32</v>
      </c>
      <c r="Q6" s="20" t="s">
        <v>33</v>
      </c>
      <c r="R6" s="20" t="s">
        <v>119</v>
      </c>
      <c r="S6" s="20" t="s">
        <v>119</v>
      </c>
      <c r="T6" s="20" t="s">
        <v>119</v>
      </c>
      <c r="U6" s="20" t="s">
        <v>119</v>
      </c>
      <c r="V6" s="20">
        <v>35</v>
      </c>
      <c r="W6" s="20">
        <f t="shared" si="1"/>
        <v>63</v>
      </c>
      <c r="X6" s="20">
        <v>28</v>
      </c>
      <c r="Y6" s="20" t="s">
        <v>34</v>
      </c>
      <c r="Z6" s="20">
        <v>28</v>
      </c>
      <c r="AA6" s="20" t="s">
        <v>34</v>
      </c>
      <c r="AB6" s="30" t="s">
        <v>119</v>
      </c>
      <c r="AI6" s="20" t="s">
        <v>119</v>
      </c>
      <c r="AJ6" s="20">
        <v>0</v>
      </c>
      <c r="AK6" s="20" t="s">
        <v>34</v>
      </c>
      <c r="AM6" s="20" t="s">
        <v>37</v>
      </c>
      <c r="AN6" s="20" t="s">
        <v>119</v>
      </c>
      <c r="AO6" s="20" t="s">
        <v>119</v>
      </c>
      <c r="AP6" s="20" t="s">
        <v>120</v>
      </c>
      <c r="AQ6" s="20" t="s">
        <v>119</v>
      </c>
      <c r="AR6" s="20" t="s">
        <v>119</v>
      </c>
      <c r="AS6" s="20">
        <v>1</v>
      </c>
      <c r="AT6" s="1" t="s">
        <v>58</v>
      </c>
      <c r="AU6" s="20" t="s">
        <v>92</v>
      </c>
      <c r="AV6" s="20" t="s">
        <v>158</v>
      </c>
      <c r="AW6" s="20" t="s">
        <v>119</v>
      </c>
      <c r="AX6" s="55">
        <v>1</v>
      </c>
      <c r="AY6" s="1" t="s">
        <v>119</v>
      </c>
      <c r="AZ6" s="1" t="s">
        <v>166</v>
      </c>
      <c r="BA6" s="1" t="s">
        <v>119</v>
      </c>
      <c r="BB6" s="1" t="s">
        <v>64</v>
      </c>
      <c r="BC6" s="1" t="s">
        <v>66</v>
      </c>
      <c r="BD6" s="7" t="s">
        <v>67</v>
      </c>
      <c r="BE6" s="20" t="s">
        <v>244</v>
      </c>
      <c r="BF6" s="19" t="s">
        <v>238</v>
      </c>
      <c r="BG6" s="20" t="s">
        <v>250</v>
      </c>
      <c r="BH6" s="20">
        <v>18</v>
      </c>
      <c r="BI6" s="20">
        <v>28</v>
      </c>
      <c r="BJ6" s="1">
        <f>BH6-BI6</f>
        <v>-10</v>
      </c>
      <c r="BK6" s="1" t="s">
        <v>262</v>
      </c>
      <c r="BL6" s="7">
        <v>0.80034342803621505</v>
      </c>
      <c r="BM6" s="7">
        <v>0.10308765641211395</v>
      </c>
      <c r="BN6" s="1">
        <v>7</v>
      </c>
      <c r="BO6" s="7">
        <v>3.8963471745238953E-2</v>
      </c>
      <c r="BP6" s="9" t="s">
        <v>119</v>
      </c>
      <c r="BQ6" s="7">
        <v>0.57199500468310904</v>
      </c>
      <c r="BR6" s="7">
        <v>0.15463148461816975</v>
      </c>
      <c r="BS6" s="14">
        <v>7</v>
      </c>
      <c r="BT6" s="7">
        <v>5.8445207617857986E-2</v>
      </c>
      <c r="BU6" s="21" t="s">
        <v>119</v>
      </c>
      <c r="BV6" s="20">
        <v>1</v>
      </c>
      <c r="BW6" s="20" t="s">
        <v>362</v>
      </c>
      <c r="BX6" s="20" t="s">
        <v>363</v>
      </c>
      <c r="BY6" s="20" t="s">
        <v>119</v>
      </c>
      <c r="BZ6" s="24" t="s">
        <v>364</v>
      </c>
    </row>
    <row r="7" spans="1:78" ht="15" customHeight="1" x14ac:dyDescent="0.35">
      <c r="B7" s="20" t="s">
        <v>237</v>
      </c>
      <c r="C7" s="18" t="s">
        <v>295</v>
      </c>
      <c r="D7" s="20">
        <v>2016</v>
      </c>
      <c r="E7" s="20" t="s">
        <v>91</v>
      </c>
      <c r="F7" s="20" t="s">
        <v>232</v>
      </c>
      <c r="G7" s="20" t="s">
        <v>233</v>
      </c>
      <c r="H7" s="20" t="s">
        <v>234</v>
      </c>
      <c r="I7" s="20" t="s">
        <v>235</v>
      </c>
      <c r="J7" s="19" t="s">
        <v>236</v>
      </c>
      <c r="K7" s="24">
        <v>24.5</v>
      </c>
      <c r="L7" s="24">
        <v>35</v>
      </c>
      <c r="M7" s="24">
        <v>35</v>
      </c>
      <c r="N7" s="24">
        <v>365</v>
      </c>
      <c r="O7" s="24" t="s">
        <v>34</v>
      </c>
      <c r="P7" s="20" t="s">
        <v>32</v>
      </c>
      <c r="Q7" s="20" t="s">
        <v>33</v>
      </c>
      <c r="R7" s="20" t="s">
        <v>119</v>
      </c>
      <c r="S7" s="20" t="s">
        <v>119</v>
      </c>
      <c r="T7" s="20" t="s">
        <v>119</v>
      </c>
      <c r="U7" s="20" t="s">
        <v>119</v>
      </c>
      <c r="V7" s="20">
        <v>35</v>
      </c>
      <c r="W7" s="20">
        <f t="shared" si="1"/>
        <v>63</v>
      </c>
      <c r="X7" s="20">
        <v>28</v>
      </c>
      <c r="Y7" s="20" t="s">
        <v>34</v>
      </c>
      <c r="Z7" s="20">
        <v>28</v>
      </c>
      <c r="AA7" s="20" t="s">
        <v>34</v>
      </c>
      <c r="AB7" s="30" t="s">
        <v>119</v>
      </c>
      <c r="AI7" s="20" t="s">
        <v>119</v>
      </c>
      <c r="AJ7" s="20">
        <v>0</v>
      </c>
      <c r="AK7" s="20" t="s">
        <v>34</v>
      </c>
      <c r="AM7" s="20" t="s">
        <v>37</v>
      </c>
      <c r="AN7" s="20" t="s">
        <v>119</v>
      </c>
      <c r="AO7" s="20" t="s">
        <v>119</v>
      </c>
      <c r="AP7" s="20" t="s">
        <v>120</v>
      </c>
      <c r="AQ7" s="20" t="s">
        <v>119</v>
      </c>
      <c r="AR7" s="20" t="s">
        <v>119</v>
      </c>
      <c r="AS7" s="20">
        <v>1</v>
      </c>
      <c r="AT7" s="1" t="s">
        <v>58</v>
      </c>
      <c r="AU7" s="20" t="s">
        <v>92</v>
      </c>
      <c r="AV7" s="20" t="s">
        <v>158</v>
      </c>
      <c r="AW7" s="20" t="s">
        <v>119</v>
      </c>
      <c r="AX7" s="55">
        <v>1</v>
      </c>
      <c r="AY7" s="1" t="s">
        <v>119</v>
      </c>
      <c r="AZ7" s="1" t="s">
        <v>166</v>
      </c>
      <c r="BA7" s="1" t="s">
        <v>119</v>
      </c>
      <c r="BB7" s="1" t="s">
        <v>64</v>
      </c>
      <c r="BC7" s="1" t="s">
        <v>66</v>
      </c>
      <c r="BD7" s="7" t="s">
        <v>67</v>
      </c>
      <c r="BE7" s="20" t="s">
        <v>244</v>
      </c>
      <c r="BF7" s="19" t="s">
        <v>238</v>
      </c>
      <c r="BG7" s="20" t="s">
        <v>251</v>
      </c>
      <c r="BH7" s="20">
        <v>32</v>
      </c>
      <c r="BI7" s="20">
        <v>28</v>
      </c>
      <c r="BJ7" s="1">
        <f t="shared" ref="BJ7:BJ11" si="3">BH7-BI7</f>
        <v>4</v>
      </c>
      <c r="BK7" s="1" t="s">
        <v>262</v>
      </c>
      <c r="BL7" s="7">
        <v>0.54829847018420097</v>
      </c>
      <c r="BM7" s="7">
        <v>0.1286117636487662</v>
      </c>
      <c r="BN7" s="1">
        <v>7</v>
      </c>
      <c r="BO7" s="7">
        <v>4.8610677489853038E-2</v>
      </c>
      <c r="BP7" s="9" t="s">
        <v>119</v>
      </c>
      <c r="BQ7" s="7">
        <v>0.57199500468310904</v>
      </c>
      <c r="BR7" s="7">
        <v>0.15463148461816975</v>
      </c>
      <c r="BS7" s="14">
        <v>7</v>
      </c>
      <c r="BT7" s="7">
        <v>5.8445207617857986E-2</v>
      </c>
      <c r="BU7" s="21" t="s">
        <v>119</v>
      </c>
      <c r="BV7" s="20">
        <v>1</v>
      </c>
      <c r="BW7" s="20" t="s">
        <v>362</v>
      </c>
      <c r="BX7" s="20" t="s">
        <v>363</v>
      </c>
      <c r="BY7" s="20" t="s">
        <v>119</v>
      </c>
      <c r="BZ7" s="24" t="s">
        <v>364</v>
      </c>
    </row>
    <row r="8" spans="1:78" ht="15" customHeight="1" x14ac:dyDescent="0.35">
      <c r="B8" s="20" t="s">
        <v>237</v>
      </c>
      <c r="C8" s="18" t="s">
        <v>295</v>
      </c>
      <c r="D8" s="20">
        <v>2016</v>
      </c>
      <c r="E8" s="20" t="s">
        <v>91</v>
      </c>
      <c r="F8" s="20" t="s">
        <v>232</v>
      </c>
      <c r="G8" s="20" t="s">
        <v>233</v>
      </c>
      <c r="H8" s="20" t="s">
        <v>234</v>
      </c>
      <c r="I8" s="20" t="s">
        <v>235</v>
      </c>
      <c r="J8" s="19" t="s">
        <v>236</v>
      </c>
      <c r="K8" s="24">
        <v>24.5</v>
      </c>
      <c r="L8" s="24">
        <v>35</v>
      </c>
      <c r="M8" s="24">
        <v>35</v>
      </c>
      <c r="N8" s="24">
        <v>365</v>
      </c>
      <c r="O8" s="24" t="s">
        <v>34</v>
      </c>
      <c r="P8" s="20" t="s">
        <v>32</v>
      </c>
      <c r="Q8" s="20" t="s">
        <v>33</v>
      </c>
      <c r="R8" s="20" t="s">
        <v>119</v>
      </c>
      <c r="S8" s="20" t="s">
        <v>119</v>
      </c>
      <c r="T8" s="20" t="s">
        <v>119</v>
      </c>
      <c r="U8" s="20" t="s">
        <v>119</v>
      </c>
      <c r="V8" s="20">
        <v>35</v>
      </c>
      <c r="W8" s="20">
        <f t="shared" si="1"/>
        <v>63</v>
      </c>
      <c r="X8" s="20">
        <v>28</v>
      </c>
      <c r="Y8" s="20" t="s">
        <v>34</v>
      </c>
      <c r="Z8" s="20">
        <v>28</v>
      </c>
      <c r="AA8" s="20" t="s">
        <v>34</v>
      </c>
      <c r="AB8" s="30" t="s">
        <v>119</v>
      </c>
      <c r="AI8" s="20" t="s">
        <v>119</v>
      </c>
      <c r="AJ8" s="20">
        <v>0</v>
      </c>
      <c r="AK8" s="20" t="s">
        <v>34</v>
      </c>
      <c r="AM8" s="20" t="s">
        <v>37</v>
      </c>
      <c r="AN8" s="20" t="s">
        <v>119</v>
      </c>
      <c r="AO8" s="20" t="s">
        <v>119</v>
      </c>
      <c r="AP8" s="20" t="s">
        <v>120</v>
      </c>
      <c r="AQ8" s="20" t="s">
        <v>119</v>
      </c>
      <c r="AR8" s="20" t="s">
        <v>119</v>
      </c>
      <c r="AS8" s="20">
        <v>1</v>
      </c>
      <c r="AT8" s="1" t="s">
        <v>58</v>
      </c>
      <c r="AU8" s="20" t="s">
        <v>92</v>
      </c>
      <c r="AV8" s="20" t="s">
        <v>158</v>
      </c>
      <c r="AW8" s="20" t="s">
        <v>119</v>
      </c>
      <c r="AX8" s="55">
        <v>1</v>
      </c>
      <c r="AY8" s="1" t="s">
        <v>119</v>
      </c>
      <c r="AZ8" s="1" t="s">
        <v>166</v>
      </c>
      <c r="BA8" s="1" t="s">
        <v>119</v>
      </c>
      <c r="BB8" s="1" t="s">
        <v>64</v>
      </c>
      <c r="BC8" s="1" t="s">
        <v>66</v>
      </c>
      <c r="BD8" s="7" t="s">
        <v>67</v>
      </c>
      <c r="BE8" s="20" t="s">
        <v>244</v>
      </c>
      <c r="BF8" s="19" t="s">
        <v>238</v>
      </c>
      <c r="BG8" s="13" t="s">
        <v>252</v>
      </c>
      <c r="BH8" s="20">
        <v>28</v>
      </c>
      <c r="BI8" s="20">
        <v>18</v>
      </c>
      <c r="BJ8" s="1">
        <f t="shared" si="3"/>
        <v>10</v>
      </c>
      <c r="BK8" s="1" t="s">
        <v>262</v>
      </c>
      <c r="BL8" s="7">
        <v>0.66408639740308395</v>
      </c>
      <c r="BM8" s="7">
        <v>0.15459287259878912</v>
      </c>
      <c r="BN8" s="1">
        <v>7</v>
      </c>
      <c r="BO8" s="7">
        <v>5.8430613646295093E-2</v>
      </c>
      <c r="BP8" s="9" t="s">
        <v>119</v>
      </c>
      <c r="BQ8" s="7">
        <v>0.48223984018977401</v>
      </c>
      <c r="BR8" s="7">
        <v>0.12882739383232364</v>
      </c>
      <c r="BS8" s="14">
        <v>7</v>
      </c>
      <c r="BT8" s="7">
        <v>4.8692178038579004E-2</v>
      </c>
      <c r="BU8" s="21" t="s">
        <v>119</v>
      </c>
      <c r="BV8" s="20">
        <v>1</v>
      </c>
      <c r="BW8" s="20" t="s">
        <v>362</v>
      </c>
      <c r="BX8" s="20" t="s">
        <v>363</v>
      </c>
      <c r="BY8" s="20" t="s">
        <v>119</v>
      </c>
      <c r="BZ8" s="24" t="s">
        <v>364</v>
      </c>
    </row>
    <row r="9" spans="1:78" ht="15" customHeight="1" x14ac:dyDescent="0.35">
      <c r="B9" s="20" t="s">
        <v>237</v>
      </c>
      <c r="C9" s="18" t="s">
        <v>295</v>
      </c>
      <c r="D9" s="20">
        <v>2016</v>
      </c>
      <c r="E9" s="20" t="s">
        <v>91</v>
      </c>
      <c r="F9" s="20" t="s">
        <v>232</v>
      </c>
      <c r="G9" s="20" t="s">
        <v>233</v>
      </c>
      <c r="H9" s="20" t="s">
        <v>234</v>
      </c>
      <c r="I9" s="20" t="s">
        <v>235</v>
      </c>
      <c r="J9" s="19" t="s">
        <v>236</v>
      </c>
      <c r="K9" s="24">
        <v>24.5</v>
      </c>
      <c r="L9" s="24">
        <v>35</v>
      </c>
      <c r="M9" s="24">
        <v>35</v>
      </c>
      <c r="N9" s="24">
        <v>365</v>
      </c>
      <c r="O9" s="24" t="s">
        <v>34</v>
      </c>
      <c r="P9" s="20" t="s">
        <v>32</v>
      </c>
      <c r="Q9" s="20" t="s">
        <v>33</v>
      </c>
      <c r="R9" s="20" t="s">
        <v>119</v>
      </c>
      <c r="S9" s="20" t="s">
        <v>119</v>
      </c>
      <c r="T9" s="20" t="s">
        <v>119</v>
      </c>
      <c r="U9" s="20" t="s">
        <v>119</v>
      </c>
      <c r="V9" s="20">
        <v>35</v>
      </c>
      <c r="W9" s="20">
        <f t="shared" si="1"/>
        <v>63</v>
      </c>
      <c r="X9" s="20">
        <v>28</v>
      </c>
      <c r="Y9" s="20" t="s">
        <v>34</v>
      </c>
      <c r="Z9" s="20">
        <v>28</v>
      </c>
      <c r="AA9" s="20" t="s">
        <v>34</v>
      </c>
      <c r="AB9" s="30" t="s">
        <v>119</v>
      </c>
      <c r="AI9" s="20" t="s">
        <v>119</v>
      </c>
      <c r="AJ9" s="20">
        <v>0</v>
      </c>
      <c r="AK9" s="20" t="s">
        <v>34</v>
      </c>
      <c r="AM9" s="20" t="s">
        <v>37</v>
      </c>
      <c r="AN9" s="20" t="s">
        <v>119</v>
      </c>
      <c r="AO9" s="20" t="s">
        <v>119</v>
      </c>
      <c r="AP9" s="20" t="s">
        <v>120</v>
      </c>
      <c r="AQ9" s="20" t="s">
        <v>119</v>
      </c>
      <c r="AR9" s="20" t="s">
        <v>119</v>
      </c>
      <c r="AS9" s="20">
        <v>1</v>
      </c>
      <c r="AT9" s="1" t="s">
        <v>58</v>
      </c>
      <c r="AU9" s="20" t="s">
        <v>92</v>
      </c>
      <c r="AV9" s="20" t="s">
        <v>158</v>
      </c>
      <c r="AW9" s="20" t="s">
        <v>119</v>
      </c>
      <c r="AX9" s="55">
        <v>1</v>
      </c>
      <c r="AY9" s="1" t="s">
        <v>119</v>
      </c>
      <c r="AZ9" s="1" t="s">
        <v>166</v>
      </c>
      <c r="BA9" s="1" t="s">
        <v>119</v>
      </c>
      <c r="BB9" s="1" t="s">
        <v>64</v>
      </c>
      <c r="BC9" s="1" t="s">
        <v>66</v>
      </c>
      <c r="BD9" s="7" t="s">
        <v>67</v>
      </c>
      <c r="BE9" s="20" t="s">
        <v>244</v>
      </c>
      <c r="BF9" s="19" t="s">
        <v>238</v>
      </c>
      <c r="BG9" s="13" t="s">
        <v>253</v>
      </c>
      <c r="BH9" s="20">
        <v>32</v>
      </c>
      <c r="BI9" s="20">
        <v>18</v>
      </c>
      <c r="BJ9" s="1">
        <f t="shared" si="3"/>
        <v>14</v>
      </c>
      <c r="BK9" s="1" t="s">
        <v>262</v>
      </c>
      <c r="BL9" s="7">
        <v>0.54404145077720301</v>
      </c>
      <c r="BM9" s="7">
        <v>7.729643629939574E-2</v>
      </c>
      <c r="BN9" s="1">
        <v>7</v>
      </c>
      <c r="BO9" s="7">
        <v>2.9215306823147991E-2</v>
      </c>
      <c r="BP9" s="9" t="s">
        <v>119</v>
      </c>
      <c r="BQ9" s="7">
        <v>0.48223984018977401</v>
      </c>
      <c r="BR9" s="7">
        <v>0.12882739383232364</v>
      </c>
      <c r="BS9" s="14">
        <v>7</v>
      </c>
      <c r="BT9" s="7">
        <v>4.8692178038579004E-2</v>
      </c>
      <c r="BU9" s="21" t="s">
        <v>119</v>
      </c>
      <c r="BV9" s="20">
        <v>1</v>
      </c>
      <c r="BW9" s="20" t="s">
        <v>362</v>
      </c>
      <c r="BX9" s="20" t="s">
        <v>363</v>
      </c>
      <c r="BY9" s="20" t="s">
        <v>119</v>
      </c>
      <c r="BZ9" s="24" t="s">
        <v>364</v>
      </c>
    </row>
    <row r="10" spans="1:78" ht="15" customHeight="1" x14ac:dyDescent="0.35">
      <c r="B10" s="20" t="s">
        <v>237</v>
      </c>
      <c r="C10" s="18" t="s">
        <v>295</v>
      </c>
      <c r="D10" s="20">
        <v>2016</v>
      </c>
      <c r="E10" s="20" t="s">
        <v>91</v>
      </c>
      <c r="F10" s="20" t="s">
        <v>232</v>
      </c>
      <c r="G10" s="20" t="s">
        <v>233</v>
      </c>
      <c r="H10" s="20" t="s">
        <v>234</v>
      </c>
      <c r="I10" s="20" t="s">
        <v>235</v>
      </c>
      <c r="J10" s="19" t="s">
        <v>236</v>
      </c>
      <c r="K10" s="24">
        <v>24.5</v>
      </c>
      <c r="L10" s="24">
        <v>35</v>
      </c>
      <c r="M10" s="24">
        <v>35</v>
      </c>
      <c r="N10" s="24">
        <v>365</v>
      </c>
      <c r="O10" s="24" t="s">
        <v>34</v>
      </c>
      <c r="P10" s="20" t="s">
        <v>32</v>
      </c>
      <c r="Q10" s="20" t="s">
        <v>33</v>
      </c>
      <c r="R10" s="20" t="s">
        <v>119</v>
      </c>
      <c r="S10" s="20" t="s">
        <v>119</v>
      </c>
      <c r="T10" s="20" t="s">
        <v>119</v>
      </c>
      <c r="U10" s="20" t="s">
        <v>119</v>
      </c>
      <c r="V10" s="20">
        <v>35</v>
      </c>
      <c r="W10" s="20">
        <f t="shared" si="1"/>
        <v>63</v>
      </c>
      <c r="X10" s="20">
        <v>28</v>
      </c>
      <c r="Y10" s="20" t="s">
        <v>34</v>
      </c>
      <c r="Z10" s="20">
        <v>28</v>
      </c>
      <c r="AA10" s="20" t="s">
        <v>34</v>
      </c>
      <c r="AB10" s="30" t="s">
        <v>119</v>
      </c>
      <c r="AI10" s="20" t="s">
        <v>119</v>
      </c>
      <c r="AJ10" s="20">
        <v>0</v>
      </c>
      <c r="AK10" s="20" t="s">
        <v>34</v>
      </c>
      <c r="AM10" s="20" t="s">
        <v>37</v>
      </c>
      <c r="AN10" s="20" t="s">
        <v>119</v>
      </c>
      <c r="AO10" s="20" t="s">
        <v>119</v>
      </c>
      <c r="AP10" s="20" t="s">
        <v>120</v>
      </c>
      <c r="AQ10" s="20" t="s">
        <v>119</v>
      </c>
      <c r="AR10" s="20" t="s">
        <v>119</v>
      </c>
      <c r="AS10" s="20">
        <v>1</v>
      </c>
      <c r="AT10" s="1" t="s">
        <v>58</v>
      </c>
      <c r="AU10" s="20" t="s">
        <v>92</v>
      </c>
      <c r="AV10" s="20" t="s">
        <v>158</v>
      </c>
      <c r="AW10" s="20" t="s">
        <v>119</v>
      </c>
      <c r="AX10" s="55">
        <v>0</v>
      </c>
      <c r="AY10" s="20" t="s">
        <v>119</v>
      </c>
      <c r="AZ10" s="20" t="s">
        <v>119</v>
      </c>
      <c r="BA10" s="20" t="s">
        <v>168</v>
      </c>
      <c r="BB10" s="20" t="s">
        <v>62</v>
      </c>
      <c r="BC10" s="20" t="s">
        <v>95</v>
      </c>
      <c r="BD10" s="19" t="s">
        <v>96</v>
      </c>
      <c r="BE10" s="1" t="s">
        <v>243</v>
      </c>
      <c r="BF10" s="19" t="s">
        <v>239</v>
      </c>
      <c r="BG10" s="20" t="s">
        <v>242</v>
      </c>
      <c r="BH10" s="20">
        <v>18</v>
      </c>
      <c r="BI10" s="20">
        <v>28</v>
      </c>
      <c r="BJ10" s="1">
        <f t="shared" si="3"/>
        <v>-10</v>
      </c>
      <c r="BK10" s="1" t="s">
        <v>262</v>
      </c>
      <c r="BL10" s="7">
        <v>1.4231011030462299</v>
      </c>
      <c r="BM10" s="7">
        <v>0.16330864804252779</v>
      </c>
      <c r="BN10" s="1">
        <v>7</v>
      </c>
      <c r="BO10" s="7">
        <v>0.16330864804252779</v>
      </c>
      <c r="BP10" s="9" t="s">
        <v>119</v>
      </c>
      <c r="BQ10" s="7">
        <v>2.5207178373435402</v>
      </c>
      <c r="BR10" s="7">
        <v>0.48992594412755636</v>
      </c>
      <c r="BS10" s="14">
        <v>7</v>
      </c>
      <c r="BT10" s="7">
        <v>0.48992594412755636</v>
      </c>
      <c r="BU10" s="21" t="s">
        <v>119</v>
      </c>
      <c r="BV10" s="20">
        <v>1</v>
      </c>
      <c r="BW10" s="20" t="s">
        <v>362</v>
      </c>
      <c r="BX10" s="20" t="s">
        <v>363</v>
      </c>
      <c r="BY10" s="20" t="s">
        <v>119</v>
      </c>
      <c r="BZ10" s="24" t="s">
        <v>364</v>
      </c>
    </row>
    <row r="11" spans="1:78" ht="15" customHeight="1" x14ac:dyDescent="0.35">
      <c r="B11" s="20" t="s">
        <v>237</v>
      </c>
      <c r="C11" s="18" t="s">
        <v>295</v>
      </c>
      <c r="D11" s="20">
        <v>2016</v>
      </c>
      <c r="E11" s="20" t="s">
        <v>91</v>
      </c>
      <c r="F11" s="20" t="s">
        <v>232</v>
      </c>
      <c r="G11" s="20" t="s">
        <v>233</v>
      </c>
      <c r="H11" s="20" t="s">
        <v>234</v>
      </c>
      <c r="I11" s="20" t="s">
        <v>235</v>
      </c>
      <c r="J11" s="19" t="s">
        <v>236</v>
      </c>
      <c r="K11" s="24">
        <v>24.5</v>
      </c>
      <c r="L11" s="24">
        <v>35</v>
      </c>
      <c r="M11" s="24">
        <v>35</v>
      </c>
      <c r="N11" s="24">
        <v>365</v>
      </c>
      <c r="O11" s="24" t="s">
        <v>34</v>
      </c>
      <c r="P11" s="20" t="s">
        <v>32</v>
      </c>
      <c r="Q11" s="20" t="s">
        <v>33</v>
      </c>
      <c r="R11" s="20" t="s">
        <v>119</v>
      </c>
      <c r="S11" s="20" t="s">
        <v>119</v>
      </c>
      <c r="T11" s="20" t="s">
        <v>119</v>
      </c>
      <c r="U11" s="20" t="s">
        <v>119</v>
      </c>
      <c r="V11" s="20">
        <v>35</v>
      </c>
      <c r="W11" s="20">
        <f t="shared" si="1"/>
        <v>63</v>
      </c>
      <c r="X11" s="20">
        <v>28</v>
      </c>
      <c r="Y11" s="20" t="s">
        <v>34</v>
      </c>
      <c r="Z11" s="20">
        <v>28</v>
      </c>
      <c r="AA11" s="20" t="s">
        <v>34</v>
      </c>
      <c r="AB11" s="30" t="s">
        <v>119</v>
      </c>
      <c r="AI11" s="20" t="s">
        <v>119</v>
      </c>
      <c r="AJ11" s="20">
        <v>0</v>
      </c>
      <c r="AK11" s="20" t="s">
        <v>34</v>
      </c>
      <c r="AM11" s="20" t="s">
        <v>37</v>
      </c>
      <c r="AN11" s="20" t="s">
        <v>119</v>
      </c>
      <c r="AO11" s="20" t="s">
        <v>119</v>
      </c>
      <c r="AP11" s="20" t="s">
        <v>120</v>
      </c>
      <c r="AQ11" s="20" t="s">
        <v>119</v>
      </c>
      <c r="AR11" s="20" t="s">
        <v>119</v>
      </c>
      <c r="AS11" s="20">
        <v>1</v>
      </c>
      <c r="AT11" s="1" t="s">
        <v>58</v>
      </c>
      <c r="AU11" s="20" t="s">
        <v>92</v>
      </c>
      <c r="AV11" s="20" t="s">
        <v>158</v>
      </c>
      <c r="AW11" s="20" t="s">
        <v>119</v>
      </c>
      <c r="AX11" s="55">
        <v>0</v>
      </c>
      <c r="AY11" s="20" t="s">
        <v>119</v>
      </c>
      <c r="AZ11" s="20" t="s">
        <v>119</v>
      </c>
      <c r="BA11" s="20" t="s">
        <v>169</v>
      </c>
      <c r="BB11" s="20" t="s">
        <v>62</v>
      </c>
      <c r="BC11" s="1" t="s">
        <v>174</v>
      </c>
      <c r="BD11" s="7" t="s">
        <v>175</v>
      </c>
      <c r="BE11" s="1" t="s">
        <v>245</v>
      </c>
      <c r="BF11" s="19" t="s">
        <v>240</v>
      </c>
      <c r="BG11" s="20" t="s">
        <v>241</v>
      </c>
      <c r="BH11" s="20">
        <v>18</v>
      </c>
      <c r="BI11" s="20">
        <v>28</v>
      </c>
      <c r="BJ11" s="1">
        <f t="shared" si="3"/>
        <v>-10</v>
      </c>
      <c r="BK11" s="1" t="s">
        <v>262</v>
      </c>
      <c r="BL11" s="7">
        <v>7.79561042524006</v>
      </c>
      <c r="BM11" s="7">
        <v>2.3517789422222233</v>
      </c>
      <c r="BN11" s="1">
        <v>7</v>
      </c>
      <c r="BO11" s="7">
        <v>2.3517789422222233</v>
      </c>
      <c r="BP11" s="9" t="s">
        <v>119</v>
      </c>
      <c r="BQ11" s="7">
        <v>7.5075445816186601</v>
      </c>
      <c r="BR11" s="7">
        <v>2.15579736370369</v>
      </c>
      <c r="BS11" s="14">
        <v>7</v>
      </c>
      <c r="BT11" s="7">
        <v>2.15579736370369</v>
      </c>
      <c r="BU11" s="21" t="s">
        <v>119</v>
      </c>
      <c r="BV11" s="20">
        <v>1</v>
      </c>
      <c r="BW11" s="20" t="s">
        <v>362</v>
      </c>
      <c r="BX11" s="20" t="s">
        <v>363</v>
      </c>
      <c r="BY11" s="20" t="s">
        <v>119</v>
      </c>
      <c r="BZ11" s="24" t="s">
        <v>364</v>
      </c>
    </row>
    <row r="12" spans="1:78" s="31" customFormat="1" ht="15" customHeight="1" x14ac:dyDescent="0.35">
      <c r="B12" s="31" t="s">
        <v>266</v>
      </c>
      <c r="C12" s="31" t="s">
        <v>291</v>
      </c>
      <c r="D12" s="31">
        <v>2010</v>
      </c>
      <c r="E12" s="27" t="s">
        <v>91</v>
      </c>
      <c r="F12" s="27" t="s">
        <v>254</v>
      </c>
      <c r="G12" s="31" t="s">
        <v>255</v>
      </c>
      <c r="H12" s="16" t="s">
        <v>256</v>
      </c>
      <c r="I12" s="16" t="s">
        <v>257</v>
      </c>
      <c r="J12" s="27" t="s">
        <v>258</v>
      </c>
      <c r="K12" s="23">
        <v>1.75</v>
      </c>
      <c r="L12" s="23">
        <v>547.5</v>
      </c>
      <c r="M12" s="23">
        <v>1095</v>
      </c>
      <c r="N12" s="23" t="s">
        <v>119</v>
      </c>
      <c r="O12" s="23" t="s">
        <v>34</v>
      </c>
      <c r="P12" s="31" t="s">
        <v>32</v>
      </c>
      <c r="Q12" s="31" t="s">
        <v>33</v>
      </c>
      <c r="R12" s="31" t="s">
        <v>119</v>
      </c>
      <c r="S12" s="31" t="s">
        <v>119</v>
      </c>
      <c r="T12" s="31" t="s">
        <v>119</v>
      </c>
      <c r="U12" s="31" t="s">
        <v>119</v>
      </c>
      <c r="V12" s="31" t="s">
        <v>119</v>
      </c>
      <c r="W12" s="31" t="s">
        <v>119</v>
      </c>
      <c r="X12" s="31">
        <v>28</v>
      </c>
      <c r="Y12" s="31" t="s">
        <v>34</v>
      </c>
      <c r="Z12" s="31">
        <v>28</v>
      </c>
      <c r="AA12" s="31" t="s">
        <v>34</v>
      </c>
      <c r="AB12" s="32" t="s">
        <v>119</v>
      </c>
      <c r="AC12" s="32" t="s">
        <v>119</v>
      </c>
      <c r="AD12" s="32" t="s">
        <v>119</v>
      </c>
      <c r="AE12" s="32" t="s">
        <v>119</v>
      </c>
      <c r="AF12" s="32" t="s">
        <v>119</v>
      </c>
      <c r="AG12" s="32">
        <v>2.5570776255707701E-2</v>
      </c>
      <c r="AH12" s="32">
        <v>2.5570776255707701E-2</v>
      </c>
      <c r="AI12" s="31" t="s">
        <v>119</v>
      </c>
      <c r="AJ12" s="31">
        <v>0</v>
      </c>
      <c r="AK12" s="31" t="s">
        <v>34</v>
      </c>
      <c r="AL12" s="31">
        <v>0</v>
      </c>
      <c r="AM12" s="31" t="s">
        <v>37</v>
      </c>
      <c r="AN12" s="31" t="s">
        <v>119</v>
      </c>
      <c r="AO12" s="31" t="s">
        <v>119</v>
      </c>
      <c r="AP12" s="31" t="s">
        <v>38</v>
      </c>
      <c r="AQ12" s="31" t="s">
        <v>119</v>
      </c>
      <c r="AR12" s="31" t="s">
        <v>119</v>
      </c>
      <c r="AS12" s="31">
        <v>2</v>
      </c>
      <c r="AT12" s="31" t="s">
        <v>133</v>
      </c>
      <c r="AU12" s="31" t="s">
        <v>259</v>
      </c>
      <c r="AW12" s="31" t="s">
        <v>119</v>
      </c>
      <c r="AX12" s="55">
        <v>1</v>
      </c>
      <c r="AY12" s="31" t="s">
        <v>119</v>
      </c>
      <c r="AZ12" s="31" t="s">
        <v>119</v>
      </c>
      <c r="BA12" s="31" t="s">
        <v>119</v>
      </c>
      <c r="BB12" s="31" t="s">
        <v>97</v>
      </c>
      <c r="BC12" s="31" t="s">
        <v>136</v>
      </c>
      <c r="BD12" s="27" t="s">
        <v>263</v>
      </c>
      <c r="BE12" s="31" t="s">
        <v>260</v>
      </c>
      <c r="BF12" s="27" t="s">
        <v>264</v>
      </c>
      <c r="BG12" s="31" t="s">
        <v>79</v>
      </c>
      <c r="BH12" s="31">
        <v>26</v>
      </c>
      <c r="BI12" s="31">
        <v>19</v>
      </c>
      <c r="BJ12" s="36">
        <f t="shared" ref="BJ12:BJ13" si="4">BH12-BI12</f>
        <v>7</v>
      </c>
      <c r="BK12" s="36" t="s">
        <v>262</v>
      </c>
      <c r="BL12" s="43">
        <v>20.661157024793301</v>
      </c>
      <c r="BM12" s="36">
        <v>4.7107438016528995</v>
      </c>
      <c r="BN12" s="36">
        <v>9</v>
      </c>
      <c r="BO12" s="42">
        <v>1.5702479338842998</v>
      </c>
      <c r="BP12" s="43" t="s">
        <v>119</v>
      </c>
      <c r="BQ12" s="43">
        <v>20.661157024793301</v>
      </c>
      <c r="BR12" s="42">
        <v>3.2231404958678951</v>
      </c>
      <c r="BS12" s="44">
        <v>9</v>
      </c>
      <c r="BT12" s="42">
        <v>1.0743801652892984</v>
      </c>
      <c r="BU12" s="22" t="s">
        <v>119</v>
      </c>
      <c r="BV12" s="31">
        <v>1</v>
      </c>
      <c r="BW12" s="31" t="s">
        <v>362</v>
      </c>
      <c r="BX12" s="31" t="s">
        <v>363</v>
      </c>
      <c r="BY12" s="31" t="s">
        <v>365</v>
      </c>
      <c r="BZ12" s="23" t="s">
        <v>364</v>
      </c>
    </row>
    <row r="13" spans="1:78" s="31" customFormat="1" ht="15" customHeight="1" x14ac:dyDescent="0.35">
      <c r="B13" s="31" t="s">
        <v>266</v>
      </c>
      <c r="C13" s="31" t="s">
        <v>291</v>
      </c>
      <c r="D13" s="31">
        <v>2010</v>
      </c>
      <c r="E13" s="31" t="s">
        <v>91</v>
      </c>
      <c r="F13" s="31" t="s">
        <v>254</v>
      </c>
      <c r="G13" s="31" t="s">
        <v>255</v>
      </c>
      <c r="H13" s="31" t="s">
        <v>256</v>
      </c>
      <c r="I13" s="31" t="s">
        <v>257</v>
      </c>
      <c r="J13" s="23" t="s">
        <v>258</v>
      </c>
      <c r="K13" s="23">
        <v>1.75</v>
      </c>
      <c r="L13" s="23">
        <v>547.5</v>
      </c>
      <c r="M13" s="23">
        <v>1095</v>
      </c>
      <c r="N13" s="23" t="s">
        <v>119</v>
      </c>
      <c r="O13" s="23" t="s">
        <v>34</v>
      </c>
      <c r="P13" s="31" t="s">
        <v>32</v>
      </c>
      <c r="Q13" s="31" t="s">
        <v>33</v>
      </c>
      <c r="R13" s="31" t="s">
        <v>119</v>
      </c>
      <c r="S13" s="31" t="s">
        <v>119</v>
      </c>
      <c r="T13" s="31" t="s">
        <v>119</v>
      </c>
      <c r="U13" s="31" t="s">
        <v>119</v>
      </c>
      <c r="V13" s="31" t="s">
        <v>119</v>
      </c>
      <c r="W13" s="31" t="s">
        <v>119</v>
      </c>
      <c r="X13" s="31">
        <v>28</v>
      </c>
      <c r="Y13" s="31" t="s">
        <v>34</v>
      </c>
      <c r="Z13" s="31">
        <v>28</v>
      </c>
      <c r="AA13" s="31" t="s">
        <v>34</v>
      </c>
      <c r="AB13" s="32" t="s">
        <v>119</v>
      </c>
      <c r="AC13" s="32" t="s">
        <v>119</v>
      </c>
      <c r="AD13" s="32" t="s">
        <v>119</v>
      </c>
      <c r="AE13" s="32" t="s">
        <v>119</v>
      </c>
      <c r="AF13" s="32" t="s">
        <v>119</v>
      </c>
      <c r="AG13" s="32">
        <v>2.5570776255707701E-2</v>
      </c>
      <c r="AH13" s="32">
        <v>2.5570776255707701E-2</v>
      </c>
      <c r="AI13" s="31" t="s">
        <v>119</v>
      </c>
      <c r="AJ13" s="31">
        <v>0</v>
      </c>
      <c r="AK13" s="31" t="s">
        <v>34</v>
      </c>
      <c r="AL13" s="31">
        <v>0</v>
      </c>
      <c r="AM13" s="31" t="s">
        <v>37</v>
      </c>
      <c r="AN13" s="31" t="s">
        <v>119</v>
      </c>
      <c r="AO13" s="31" t="s">
        <v>119</v>
      </c>
      <c r="AP13" s="31" t="s">
        <v>38</v>
      </c>
      <c r="AQ13" s="31" t="s">
        <v>119</v>
      </c>
      <c r="AR13" s="31" t="s">
        <v>119</v>
      </c>
      <c r="AS13" s="31">
        <v>2</v>
      </c>
      <c r="AT13" s="31" t="s">
        <v>135</v>
      </c>
      <c r="AU13" s="31" t="s">
        <v>261</v>
      </c>
      <c r="AW13" s="31" t="s">
        <v>119</v>
      </c>
      <c r="AX13" s="55">
        <v>1</v>
      </c>
      <c r="AY13" s="31" t="s">
        <v>119</v>
      </c>
      <c r="AZ13" s="31" t="s">
        <v>119</v>
      </c>
      <c r="BA13" s="31" t="s">
        <v>119</v>
      </c>
      <c r="BB13" s="31" t="s">
        <v>97</v>
      </c>
      <c r="BC13" s="31" t="s">
        <v>136</v>
      </c>
      <c r="BD13" s="27" t="s">
        <v>265</v>
      </c>
      <c r="BE13" s="31" t="s">
        <v>260</v>
      </c>
      <c r="BF13" s="27" t="s">
        <v>264</v>
      </c>
      <c r="BG13" s="31" t="s">
        <v>80</v>
      </c>
      <c r="BH13" s="31">
        <v>26</v>
      </c>
      <c r="BI13" s="31">
        <v>19</v>
      </c>
      <c r="BJ13" s="36">
        <f t="shared" si="4"/>
        <v>7</v>
      </c>
      <c r="BK13" s="36" t="s">
        <v>262</v>
      </c>
      <c r="BL13" s="43">
        <v>11.3094895476308</v>
      </c>
      <c r="BM13" s="36">
        <v>2.6372936343893993</v>
      </c>
      <c r="BN13" s="36">
        <v>9</v>
      </c>
      <c r="BO13" s="42">
        <v>0.87909787812979978</v>
      </c>
      <c r="BP13" s="43" t="s">
        <v>119</v>
      </c>
      <c r="BQ13" s="43">
        <v>14.057193689332999</v>
      </c>
      <c r="BR13" s="42">
        <v>2.9653855210488018</v>
      </c>
      <c r="BS13" s="44">
        <v>9</v>
      </c>
      <c r="BT13" s="42">
        <v>0.98846184034960061</v>
      </c>
      <c r="BU13" s="22" t="s">
        <v>119</v>
      </c>
      <c r="BV13" s="31">
        <v>1</v>
      </c>
      <c r="BW13" s="31" t="s">
        <v>362</v>
      </c>
      <c r="BX13" s="31" t="s">
        <v>363</v>
      </c>
      <c r="BY13" s="31" t="s">
        <v>365</v>
      </c>
      <c r="BZ13" s="23" t="s">
        <v>364</v>
      </c>
    </row>
    <row r="14" spans="1:78" s="31" customFormat="1" ht="15" customHeight="1" x14ac:dyDescent="0.35">
      <c r="B14" s="31" t="s">
        <v>266</v>
      </c>
      <c r="C14" s="31" t="s">
        <v>291</v>
      </c>
      <c r="D14" s="31">
        <v>2010</v>
      </c>
      <c r="E14" s="27" t="s">
        <v>91</v>
      </c>
      <c r="F14" s="27" t="s">
        <v>254</v>
      </c>
      <c r="G14" s="31" t="s">
        <v>255</v>
      </c>
      <c r="H14" s="16" t="s">
        <v>256</v>
      </c>
      <c r="I14" s="16" t="s">
        <v>257</v>
      </c>
      <c r="J14" s="27" t="s">
        <v>258</v>
      </c>
      <c r="K14" s="23">
        <v>1.75</v>
      </c>
      <c r="L14" s="23">
        <v>547.5</v>
      </c>
      <c r="M14" s="23">
        <v>1095</v>
      </c>
      <c r="N14" s="23" t="s">
        <v>119</v>
      </c>
      <c r="O14" s="23" t="s">
        <v>34</v>
      </c>
      <c r="P14" s="31" t="s">
        <v>32</v>
      </c>
      <c r="Q14" s="31" t="s">
        <v>33</v>
      </c>
      <c r="R14" s="31" t="s">
        <v>119</v>
      </c>
      <c r="S14" s="31" t="s">
        <v>119</v>
      </c>
      <c r="T14" s="31" t="s">
        <v>119</v>
      </c>
      <c r="U14" s="31" t="s">
        <v>119</v>
      </c>
      <c r="V14" s="31" t="s">
        <v>119</v>
      </c>
      <c r="W14" s="31" t="s">
        <v>119</v>
      </c>
      <c r="X14" s="31">
        <v>28</v>
      </c>
      <c r="Y14" s="31" t="s">
        <v>34</v>
      </c>
      <c r="Z14" s="31">
        <v>28</v>
      </c>
      <c r="AA14" s="31" t="s">
        <v>34</v>
      </c>
      <c r="AB14" s="32" t="s">
        <v>119</v>
      </c>
      <c r="AC14" s="32" t="s">
        <v>119</v>
      </c>
      <c r="AD14" s="32" t="s">
        <v>119</v>
      </c>
      <c r="AE14" s="32" t="s">
        <v>119</v>
      </c>
      <c r="AF14" s="32" t="s">
        <v>119</v>
      </c>
      <c r="AG14" s="32">
        <v>2.5570776255707701E-2</v>
      </c>
      <c r="AH14" s="32">
        <v>2.5570776255707701E-2</v>
      </c>
      <c r="AI14" s="31" t="s">
        <v>119</v>
      </c>
      <c r="AJ14" s="31">
        <v>0</v>
      </c>
      <c r="AK14" s="31" t="s">
        <v>34</v>
      </c>
      <c r="AL14" s="31">
        <v>0</v>
      </c>
      <c r="AM14" s="31" t="s">
        <v>37</v>
      </c>
      <c r="AN14" s="31" t="s">
        <v>119</v>
      </c>
      <c r="AO14" s="31" t="s">
        <v>119</v>
      </c>
      <c r="AP14" s="31" t="s">
        <v>38</v>
      </c>
      <c r="AQ14" s="31" t="s">
        <v>119</v>
      </c>
      <c r="AR14" s="31" t="s">
        <v>119</v>
      </c>
      <c r="AS14" s="31">
        <v>2</v>
      </c>
      <c r="AT14" s="31" t="s">
        <v>133</v>
      </c>
      <c r="AU14" s="31" t="s">
        <v>259</v>
      </c>
      <c r="AW14" s="31" t="s">
        <v>119</v>
      </c>
      <c r="AX14" s="55">
        <v>1</v>
      </c>
      <c r="AY14" s="31" t="s">
        <v>119</v>
      </c>
      <c r="AZ14" s="31" t="s">
        <v>119</v>
      </c>
      <c r="BA14" s="31" t="s">
        <v>119</v>
      </c>
      <c r="BB14" s="31" t="s">
        <v>97</v>
      </c>
      <c r="BC14" s="31" t="s">
        <v>136</v>
      </c>
      <c r="BD14" s="27" t="s">
        <v>371</v>
      </c>
      <c r="BE14" s="31" t="s">
        <v>260</v>
      </c>
      <c r="BF14" s="27" t="s">
        <v>264</v>
      </c>
      <c r="BG14" s="31" t="s">
        <v>79</v>
      </c>
      <c r="BH14" s="31">
        <v>26</v>
      </c>
      <c r="BI14" s="31">
        <v>19</v>
      </c>
      <c r="BJ14" s="36">
        <f t="shared" ref="BJ14:BJ33" si="5">BH14-BI14</f>
        <v>7</v>
      </c>
      <c r="BK14" s="36" t="s">
        <v>262</v>
      </c>
      <c r="BL14" s="43">
        <v>13.305785123966899</v>
      </c>
      <c r="BM14" s="36">
        <v>2.7272727272727035</v>
      </c>
      <c r="BN14" s="36">
        <v>9</v>
      </c>
      <c r="BO14" s="42">
        <v>0.90909090909090118</v>
      </c>
      <c r="BP14" s="43" t="s">
        <v>119</v>
      </c>
      <c r="BQ14" s="43">
        <v>7.1074380165289304</v>
      </c>
      <c r="BR14" s="42">
        <v>1.2396694214875792</v>
      </c>
      <c r="BS14" s="44">
        <v>9</v>
      </c>
      <c r="BT14" s="42">
        <v>0.41322314049585973</v>
      </c>
      <c r="BU14" s="22" t="s">
        <v>119</v>
      </c>
      <c r="BV14" s="31">
        <v>1</v>
      </c>
      <c r="BW14" s="31" t="s">
        <v>362</v>
      </c>
      <c r="BX14" s="31" t="s">
        <v>363</v>
      </c>
      <c r="BY14" s="31" t="s">
        <v>365</v>
      </c>
      <c r="BZ14" s="23" t="s">
        <v>364</v>
      </c>
    </row>
    <row r="15" spans="1:78" s="31" customFormat="1" ht="15" customHeight="1" x14ac:dyDescent="0.35">
      <c r="B15" s="31" t="s">
        <v>266</v>
      </c>
      <c r="C15" s="31" t="s">
        <v>291</v>
      </c>
      <c r="D15" s="31">
        <v>2010</v>
      </c>
      <c r="E15" s="31" t="s">
        <v>91</v>
      </c>
      <c r="F15" s="31" t="s">
        <v>254</v>
      </c>
      <c r="G15" s="31" t="s">
        <v>255</v>
      </c>
      <c r="H15" s="31" t="s">
        <v>256</v>
      </c>
      <c r="I15" s="31" t="s">
        <v>257</v>
      </c>
      <c r="J15" s="23" t="s">
        <v>258</v>
      </c>
      <c r="K15" s="23">
        <v>1.75</v>
      </c>
      <c r="L15" s="23">
        <v>547.5</v>
      </c>
      <c r="M15" s="23">
        <v>1095</v>
      </c>
      <c r="N15" s="23" t="s">
        <v>119</v>
      </c>
      <c r="O15" s="23" t="s">
        <v>34</v>
      </c>
      <c r="P15" s="31" t="s">
        <v>32</v>
      </c>
      <c r="Q15" s="31" t="s">
        <v>33</v>
      </c>
      <c r="R15" s="31" t="s">
        <v>119</v>
      </c>
      <c r="S15" s="31" t="s">
        <v>119</v>
      </c>
      <c r="T15" s="31" t="s">
        <v>119</v>
      </c>
      <c r="U15" s="31" t="s">
        <v>119</v>
      </c>
      <c r="V15" s="31" t="s">
        <v>119</v>
      </c>
      <c r="W15" s="31" t="s">
        <v>119</v>
      </c>
      <c r="X15" s="31">
        <v>28</v>
      </c>
      <c r="Y15" s="31" t="s">
        <v>34</v>
      </c>
      <c r="Z15" s="31">
        <v>28</v>
      </c>
      <c r="AA15" s="31" t="s">
        <v>34</v>
      </c>
      <c r="AB15" s="32" t="s">
        <v>119</v>
      </c>
      <c r="AC15" s="32" t="s">
        <v>119</v>
      </c>
      <c r="AD15" s="32" t="s">
        <v>119</v>
      </c>
      <c r="AE15" s="32" t="s">
        <v>119</v>
      </c>
      <c r="AF15" s="32" t="s">
        <v>119</v>
      </c>
      <c r="AG15" s="32">
        <v>2.5570776255707701E-2</v>
      </c>
      <c r="AH15" s="32">
        <v>2.5570776255707701E-2</v>
      </c>
      <c r="AI15" s="31" t="s">
        <v>119</v>
      </c>
      <c r="AJ15" s="31">
        <v>0</v>
      </c>
      <c r="AK15" s="31" t="s">
        <v>34</v>
      </c>
      <c r="AL15" s="31">
        <v>0</v>
      </c>
      <c r="AM15" s="31" t="s">
        <v>37</v>
      </c>
      <c r="AN15" s="31" t="s">
        <v>119</v>
      </c>
      <c r="AO15" s="31" t="s">
        <v>119</v>
      </c>
      <c r="AP15" s="31" t="s">
        <v>38</v>
      </c>
      <c r="AQ15" s="31" t="s">
        <v>119</v>
      </c>
      <c r="AR15" s="31" t="s">
        <v>119</v>
      </c>
      <c r="AS15" s="31">
        <v>2</v>
      </c>
      <c r="AT15" s="31" t="s">
        <v>135</v>
      </c>
      <c r="AU15" s="31" t="s">
        <v>261</v>
      </c>
      <c r="AW15" s="31" t="s">
        <v>119</v>
      </c>
      <c r="AX15" s="55">
        <v>1</v>
      </c>
      <c r="AY15" s="31" t="s">
        <v>119</v>
      </c>
      <c r="AZ15" s="31" t="s">
        <v>119</v>
      </c>
      <c r="BA15" s="31" t="s">
        <v>119</v>
      </c>
      <c r="BB15" s="31" t="s">
        <v>97</v>
      </c>
      <c r="BC15" s="31" t="s">
        <v>136</v>
      </c>
      <c r="BD15" s="27" t="s">
        <v>372</v>
      </c>
      <c r="BE15" s="31" t="s">
        <v>260</v>
      </c>
      <c r="BF15" s="27" t="s">
        <v>264</v>
      </c>
      <c r="BG15" s="31" t="s">
        <v>80</v>
      </c>
      <c r="BH15" s="31">
        <v>26</v>
      </c>
      <c r="BI15" s="31">
        <v>19</v>
      </c>
      <c r="BJ15" s="36">
        <f t="shared" si="5"/>
        <v>7</v>
      </c>
      <c r="BK15" s="36" t="s">
        <v>262</v>
      </c>
      <c r="BL15" s="43">
        <v>6.1803720467805396</v>
      </c>
      <c r="BM15" s="36">
        <v>1.4850474869836203</v>
      </c>
      <c r="BN15" s="36">
        <v>9</v>
      </c>
      <c r="BO15" s="42">
        <v>0.49501582899454011</v>
      </c>
      <c r="BP15" s="43" t="s">
        <v>119</v>
      </c>
      <c r="BQ15" s="43">
        <v>3.5436016849375802</v>
      </c>
      <c r="BR15" s="42">
        <v>0.99055493053559962</v>
      </c>
      <c r="BS15" s="44">
        <v>9</v>
      </c>
      <c r="BT15" s="42">
        <v>0.33018497684519987</v>
      </c>
      <c r="BU15" s="22" t="s">
        <v>119</v>
      </c>
      <c r="BV15" s="31">
        <v>1</v>
      </c>
      <c r="BW15" s="31" t="s">
        <v>362</v>
      </c>
      <c r="BX15" s="31" t="s">
        <v>363</v>
      </c>
      <c r="BY15" s="31" t="s">
        <v>365</v>
      </c>
      <c r="BZ15" s="23" t="s">
        <v>364</v>
      </c>
    </row>
    <row r="16" spans="1:78" ht="15" customHeight="1" x14ac:dyDescent="0.35">
      <c r="B16" s="20" t="s">
        <v>267</v>
      </c>
      <c r="C16" s="20" t="s">
        <v>296</v>
      </c>
      <c r="D16" s="20">
        <v>2006</v>
      </c>
      <c r="E16" s="20" t="s">
        <v>143</v>
      </c>
      <c r="F16" s="20" t="s">
        <v>277</v>
      </c>
      <c r="G16" s="20" t="s">
        <v>278</v>
      </c>
      <c r="H16" s="20" t="s">
        <v>279</v>
      </c>
      <c r="I16" s="20" t="s">
        <v>280</v>
      </c>
      <c r="J16" s="24" t="s">
        <v>281</v>
      </c>
      <c r="K16" s="24">
        <v>80</v>
      </c>
      <c r="L16" s="24">
        <v>1825</v>
      </c>
      <c r="M16" s="24">
        <v>3650</v>
      </c>
      <c r="N16" s="24" t="s">
        <v>119</v>
      </c>
      <c r="O16" s="24" t="s">
        <v>34</v>
      </c>
      <c r="P16" s="20" t="s">
        <v>32</v>
      </c>
      <c r="Q16" s="20" t="s">
        <v>33</v>
      </c>
      <c r="R16" s="20" t="s">
        <v>119</v>
      </c>
      <c r="S16" s="20" t="s">
        <v>119</v>
      </c>
      <c r="T16" s="20" t="s">
        <v>119</v>
      </c>
      <c r="U16" s="20" t="s">
        <v>119</v>
      </c>
      <c r="V16" s="20" t="s">
        <v>119</v>
      </c>
      <c r="W16" s="20" t="s">
        <v>119</v>
      </c>
      <c r="X16" s="20">
        <v>33</v>
      </c>
      <c r="Y16" s="20" t="s">
        <v>34</v>
      </c>
      <c r="Z16" s="20">
        <v>33</v>
      </c>
      <c r="AA16" s="20" t="s">
        <v>34</v>
      </c>
      <c r="AB16" s="30" t="s">
        <v>119</v>
      </c>
      <c r="AC16" s="30" t="s">
        <v>119</v>
      </c>
      <c r="AD16" s="30" t="s">
        <v>119</v>
      </c>
      <c r="AE16" s="30" t="s">
        <v>119</v>
      </c>
      <c r="AF16" s="30" t="s">
        <v>119</v>
      </c>
      <c r="AG16" s="30">
        <v>1.8082191780821901E-2</v>
      </c>
      <c r="AH16" s="30">
        <v>1.8082191780821901E-2</v>
      </c>
      <c r="AI16" s="20" t="s">
        <v>119</v>
      </c>
      <c r="AJ16" s="20" t="s">
        <v>119</v>
      </c>
      <c r="AK16" s="20" t="s">
        <v>34</v>
      </c>
      <c r="AL16" s="20" t="s">
        <v>119</v>
      </c>
      <c r="AM16" s="20" t="s">
        <v>37</v>
      </c>
      <c r="AN16" s="20" t="s">
        <v>119</v>
      </c>
      <c r="AO16" s="20" t="s">
        <v>119</v>
      </c>
      <c r="AP16" s="20" t="s">
        <v>38</v>
      </c>
      <c r="AQ16" s="20" t="s">
        <v>119</v>
      </c>
      <c r="AR16" s="20" t="s">
        <v>119</v>
      </c>
      <c r="AS16" s="20">
        <v>3</v>
      </c>
      <c r="AT16" s="20" t="s">
        <v>57</v>
      </c>
      <c r="AU16" s="20" t="s">
        <v>57</v>
      </c>
      <c r="AV16" s="20" t="s">
        <v>157</v>
      </c>
      <c r="AW16" s="20" t="s">
        <v>119</v>
      </c>
      <c r="AX16" s="55">
        <v>1</v>
      </c>
      <c r="AY16" s="20" t="s">
        <v>163</v>
      </c>
      <c r="AZ16" s="20" t="s">
        <v>119</v>
      </c>
      <c r="BA16" s="20" t="s">
        <v>119</v>
      </c>
      <c r="BB16" s="20" t="s">
        <v>161</v>
      </c>
      <c r="BC16" s="20" t="s">
        <v>59</v>
      </c>
      <c r="BD16" s="19" t="s">
        <v>282</v>
      </c>
      <c r="BE16" s="20" t="s">
        <v>283</v>
      </c>
      <c r="BF16" s="19" t="s">
        <v>284</v>
      </c>
      <c r="BG16" s="20" t="s">
        <v>63</v>
      </c>
      <c r="BH16" s="20">
        <v>29</v>
      </c>
      <c r="BI16" s="20">
        <v>20</v>
      </c>
      <c r="BJ16" s="1">
        <f t="shared" si="5"/>
        <v>9</v>
      </c>
      <c r="BK16" s="1" t="s">
        <v>262</v>
      </c>
      <c r="BL16" s="7">
        <v>3.2291666666666601E-3</v>
      </c>
      <c r="BM16" s="6">
        <f>BO16*SQRT(BN16)</f>
        <v>2.1874799999999999E-3</v>
      </c>
      <c r="BN16" s="14">
        <v>9</v>
      </c>
      <c r="BO16" s="7">
        <v>7.2915999999999996E-4</v>
      </c>
      <c r="BP16" s="5" t="s">
        <v>119</v>
      </c>
      <c r="BQ16" s="7">
        <v>6.4583333333333298E-3</v>
      </c>
      <c r="BR16" s="1">
        <f t="shared" ref="BR16:BR30" si="6">BT16*SQRT(BS16)</f>
        <v>2.0624042065511797E-3</v>
      </c>
      <c r="BS16" s="1">
        <v>8</v>
      </c>
      <c r="BT16" s="45">
        <v>7.2917000000000001E-4</v>
      </c>
      <c r="BU16" s="21" t="s">
        <v>119</v>
      </c>
      <c r="BV16" s="20">
        <v>1</v>
      </c>
      <c r="BW16" s="20" t="s">
        <v>362</v>
      </c>
      <c r="BX16" s="20" t="s">
        <v>363</v>
      </c>
      <c r="BY16" s="20" t="s">
        <v>119</v>
      </c>
      <c r="BZ16" s="24" t="s">
        <v>364</v>
      </c>
    </row>
    <row r="17" spans="1:78" ht="15" customHeight="1" x14ac:dyDescent="0.35">
      <c r="B17" s="20" t="s">
        <v>267</v>
      </c>
      <c r="C17" s="20" t="s">
        <v>296</v>
      </c>
      <c r="D17" s="20">
        <v>2006</v>
      </c>
      <c r="E17" s="20" t="s">
        <v>143</v>
      </c>
      <c r="F17" s="20" t="s">
        <v>277</v>
      </c>
      <c r="G17" s="20" t="s">
        <v>278</v>
      </c>
      <c r="H17" s="20" t="s">
        <v>279</v>
      </c>
      <c r="I17" s="20" t="s">
        <v>280</v>
      </c>
      <c r="J17" s="24" t="s">
        <v>281</v>
      </c>
      <c r="K17" s="24">
        <v>80</v>
      </c>
      <c r="L17" s="24">
        <v>1825</v>
      </c>
      <c r="M17" s="24">
        <v>3650</v>
      </c>
      <c r="N17" s="24" t="s">
        <v>119</v>
      </c>
      <c r="O17" s="24" t="s">
        <v>34</v>
      </c>
      <c r="P17" s="20" t="s">
        <v>32</v>
      </c>
      <c r="Q17" s="20" t="s">
        <v>33</v>
      </c>
      <c r="R17" s="20" t="s">
        <v>119</v>
      </c>
      <c r="S17" s="20" t="s">
        <v>119</v>
      </c>
      <c r="T17" s="20" t="s">
        <v>119</v>
      </c>
      <c r="U17" s="20" t="s">
        <v>119</v>
      </c>
      <c r="V17" s="20" t="s">
        <v>119</v>
      </c>
      <c r="W17" s="20" t="s">
        <v>119</v>
      </c>
      <c r="X17" s="20">
        <v>33</v>
      </c>
      <c r="Y17" s="20" t="s">
        <v>34</v>
      </c>
      <c r="Z17" s="20">
        <v>33</v>
      </c>
      <c r="AA17" s="20" t="s">
        <v>34</v>
      </c>
      <c r="AB17" s="30" t="s">
        <v>119</v>
      </c>
      <c r="AC17" s="30" t="s">
        <v>119</v>
      </c>
      <c r="AD17" s="30" t="s">
        <v>119</v>
      </c>
      <c r="AE17" s="30" t="s">
        <v>119</v>
      </c>
      <c r="AF17" s="30" t="s">
        <v>119</v>
      </c>
      <c r="AG17" s="30">
        <v>1.8082191780821901E-2</v>
      </c>
      <c r="AH17" s="30">
        <v>1.8082191780821901E-2</v>
      </c>
      <c r="AI17" s="20" t="s">
        <v>119</v>
      </c>
      <c r="AJ17" s="20" t="s">
        <v>119</v>
      </c>
      <c r="AK17" s="20" t="s">
        <v>34</v>
      </c>
      <c r="AL17" s="20" t="s">
        <v>119</v>
      </c>
      <c r="AM17" s="20" t="s">
        <v>37</v>
      </c>
      <c r="AN17" s="20" t="s">
        <v>119</v>
      </c>
      <c r="AO17" s="20" t="s">
        <v>119</v>
      </c>
      <c r="AP17" s="20" t="s">
        <v>38</v>
      </c>
      <c r="AQ17" s="20" t="s">
        <v>119</v>
      </c>
      <c r="AR17" s="20" t="s">
        <v>119</v>
      </c>
      <c r="AS17" s="20">
        <v>3</v>
      </c>
      <c r="AT17" s="20" t="s">
        <v>57</v>
      </c>
      <c r="AU17" s="20" t="s">
        <v>57</v>
      </c>
      <c r="AV17" s="20" t="s">
        <v>157</v>
      </c>
      <c r="AW17" s="20" t="s">
        <v>119</v>
      </c>
      <c r="AX17" s="55">
        <v>1</v>
      </c>
      <c r="AY17" s="20" t="s">
        <v>155</v>
      </c>
      <c r="AZ17" s="20" t="s">
        <v>119</v>
      </c>
      <c r="BA17" s="20" t="s">
        <v>119</v>
      </c>
      <c r="BB17" s="20" t="s">
        <v>161</v>
      </c>
      <c r="BC17" s="20" t="s">
        <v>140</v>
      </c>
      <c r="BD17" s="19" t="s">
        <v>285</v>
      </c>
      <c r="BE17" s="20" t="s">
        <v>68</v>
      </c>
      <c r="BF17" s="19" t="s">
        <v>284</v>
      </c>
      <c r="BG17" s="20" t="s">
        <v>144</v>
      </c>
      <c r="BH17" s="20">
        <v>29</v>
      </c>
      <c r="BI17" s="20">
        <v>20</v>
      </c>
      <c r="BJ17" s="1">
        <f t="shared" si="5"/>
        <v>9</v>
      </c>
      <c r="BK17" s="1" t="s">
        <v>262</v>
      </c>
      <c r="BL17" s="7">
        <v>3.71199999999999</v>
      </c>
      <c r="BM17" s="6">
        <f t="shared" ref="BM17:BM29" si="7">BO17*SQRT(BN17)</f>
        <v>1.3440000000000001</v>
      </c>
      <c r="BN17" s="14">
        <v>9</v>
      </c>
      <c r="BO17" s="45">
        <v>0.44800000000000001</v>
      </c>
      <c r="BP17" s="5" t="s">
        <v>119</v>
      </c>
      <c r="BQ17" s="7">
        <v>7.3599999999999897</v>
      </c>
      <c r="BR17" s="1">
        <f t="shared" si="6"/>
        <v>1.4481546878700495</v>
      </c>
      <c r="BS17" s="1">
        <v>8</v>
      </c>
      <c r="BT17" s="45">
        <v>0.51200000000000001</v>
      </c>
      <c r="BU17" s="21" t="s">
        <v>119</v>
      </c>
      <c r="BV17" s="20">
        <v>1</v>
      </c>
      <c r="BW17" s="20" t="s">
        <v>362</v>
      </c>
      <c r="BX17" s="20" t="s">
        <v>363</v>
      </c>
      <c r="BY17" s="20" t="s">
        <v>119</v>
      </c>
      <c r="BZ17" s="24" t="s">
        <v>364</v>
      </c>
    </row>
    <row r="18" spans="1:78" ht="15" customHeight="1" x14ac:dyDescent="0.35">
      <c r="B18" s="20" t="s">
        <v>267</v>
      </c>
      <c r="C18" s="20" t="s">
        <v>296</v>
      </c>
      <c r="D18" s="20">
        <v>2006</v>
      </c>
      <c r="E18" s="20" t="s">
        <v>143</v>
      </c>
      <c r="F18" s="20" t="s">
        <v>277</v>
      </c>
      <c r="G18" s="20" t="s">
        <v>278</v>
      </c>
      <c r="H18" s="20" t="s">
        <v>279</v>
      </c>
      <c r="I18" s="20" t="s">
        <v>280</v>
      </c>
      <c r="J18" s="24" t="s">
        <v>281</v>
      </c>
      <c r="K18" s="24">
        <v>80</v>
      </c>
      <c r="L18" s="24">
        <v>1825</v>
      </c>
      <c r="M18" s="24">
        <v>3650</v>
      </c>
      <c r="N18" s="24" t="s">
        <v>119</v>
      </c>
      <c r="O18" s="24" t="s">
        <v>34</v>
      </c>
      <c r="P18" s="20" t="s">
        <v>32</v>
      </c>
      <c r="Q18" s="20" t="s">
        <v>33</v>
      </c>
      <c r="R18" s="20" t="s">
        <v>119</v>
      </c>
      <c r="S18" s="20" t="s">
        <v>119</v>
      </c>
      <c r="T18" s="20" t="s">
        <v>119</v>
      </c>
      <c r="U18" s="20" t="s">
        <v>119</v>
      </c>
      <c r="V18" s="20" t="s">
        <v>119</v>
      </c>
      <c r="W18" s="20" t="s">
        <v>119</v>
      </c>
      <c r="X18" s="20">
        <v>33</v>
      </c>
      <c r="Y18" s="20" t="s">
        <v>34</v>
      </c>
      <c r="Z18" s="20">
        <v>33</v>
      </c>
      <c r="AA18" s="20" t="s">
        <v>34</v>
      </c>
      <c r="AB18" s="30" t="s">
        <v>119</v>
      </c>
      <c r="AC18" s="30" t="s">
        <v>119</v>
      </c>
      <c r="AD18" s="30" t="s">
        <v>119</v>
      </c>
      <c r="AE18" s="30" t="s">
        <v>119</v>
      </c>
      <c r="AF18" s="30" t="s">
        <v>119</v>
      </c>
      <c r="AG18" s="30">
        <v>1.8082191780821901E-2</v>
      </c>
      <c r="AH18" s="30">
        <v>1.8082191780821901E-2</v>
      </c>
      <c r="AI18" s="20" t="s">
        <v>119</v>
      </c>
      <c r="AJ18" s="20" t="s">
        <v>119</v>
      </c>
      <c r="AK18" s="20" t="s">
        <v>34</v>
      </c>
      <c r="AL18" s="20" t="s">
        <v>119</v>
      </c>
      <c r="AM18" s="20" t="s">
        <v>37</v>
      </c>
      <c r="AN18" s="20" t="s">
        <v>119</v>
      </c>
      <c r="AO18" s="20" t="s">
        <v>119</v>
      </c>
      <c r="AP18" s="20" t="s">
        <v>38</v>
      </c>
      <c r="AQ18" s="20" t="s">
        <v>119</v>
      </c>
      <c r="AR18" s="20" t="s">
        <v>119</v>
      </c>
      <c r="AS18" s="20">
        <v>3</v>
      </c>
      <c r="AT18" s="20" t="s">
        <v>58</v>
      </c>
      <c r="AU18" s="20" t="s">
        <v>286</v>
      </c>
      <c r="AV18" s="20" t="s">
        <v>157</v>
      </c>
      <c r="AW18" s="20" t="s">
        <v>119</v>
      </c>
      <c r="AX18" s="55">
        <v>1</v>
      </c>
      <c r="AY18" s="20" t="s">
        <v>163</v>
      </c>
      <c r="AZ18" s="20" t="s">
        <v>119</v>
      </c>
      <c r="BA18" s="20" t="s">
        <v>119</v>
      </c>
      <c r="BB18" s="20" t="s">
        <v>161</v>
      </c>
      <c r="BC18" s="20" t="s">
        <v>59</v>
      </c>
      <c r="BD18" s="19" t="s">
        <v>282</v>
      </c>
      <c r="BE18" s="20" t="s">
        <v>283</v>
      </c>
      <c r="BF18" s="19" t="s">
        <v>284</v>
      </c>
      <c r="BG18" s="20" t="s">
        <v>145</v>
      </c>
      <c r="BH18" s="20">
        <v>29</v>
      </c>
      <c r="BI18" s="20">
        <v>20</v>
      </c>
      <c r="BJ18" s="1">
        <f t="shared" si="5"/>
        <v>9</v>
      </c>
      <c r="BK18" s="1" t="s">
        <v>262</v>
      </c>
      <c r="BL18" s="7">
        <v>3.10726950354609E-3</v>
      </c>
      <c r="BM18" s="6">
        <f t="shared" si="7"/>
        <v>1.5957300000000001E-3</v>
      </c>
      <c r="BN18" s="14">
        <v>9</v>
      </c>
      <c r="BO18" s="6">
        <v>5.3191000000000002E-4</v>
      </c>
      <c r="BP18" s="5" t="s">
        <v>119</v>
      </c>
      <c r="BQ18" s="7">
        <v>1.12996453900709E-2</v>
      </c>
      <c r="BR18" s="1">
        <f t="shared" si="6"/>
        <v>9.9295845868748074E-3</v>
      </c>
      <c r="BS18" s="1">
        <v>8</v>
      </c>
      <c r="BT18" s="7">
        <v>3.5106382978722997E-3</v>
      </c>
      <c r="BU18" s="21" t="s">
        <v>119</v>
      </c>
      <c r="BV18" s="20">
        <v>1</v>
      </c>
      <c r="BW18" s="20" t="s">
        <v>362</v>
      </c>
      <c r="BX18" s="20" t="s">
        <v>363</v>
      </c>
      <c r="BY18" s="20" t="s">
        <v>119</v>
      </c>
      <c r="BZ18" s="24" t="s">
        <v>364</v>
      </c>
    </row>
    <row r="19" spans="1:78" ht="15" customHeight="1" x14ac:dyDescent="0.35">
      <c r="B19" s="20" t="s">
        <v>267</v>
      </c>
      <c r="C19" s="20" t="s">
        <v>296</v>
      </c>
      <c r="D19" s="20">
        <v>2006</v>
      </c>
      <c r="E19" s="20" t="s">
        <v>143</v>
      </c>
      <c r="F19" s="20" t="s">
        <v>277</v>
      </c>
      <c r="G19" s="20" t="s">
        <v>278</v>
      </c>
      <c r="H19" s="20" t="s">
        <v>279</v>
      </c>
      <c r="I19" s="20" t="s">
        <v>280</v>
      </c>
      <c r="J19" s="24" t="s">
        <v>281</v>
      </c>
      <c r="K19" s="24">
        <v>80</v>
      </c>
      <c r="L19" s="24">
        <v>1825</v>
      </c>
      <c r="M19" s="24">
        <v>3650</v>
      </c>
      <c r="N19" s="24" t="s">
        <v>119</v>
      </c>
      <c r="O19" s="24" t="s">
        <v>34</v>
      </c>
      <c r="P19" s="20" t="s">
        <v>32</v>
      </c>
      <c r="Q19" s="20" t="s">
        <v>33</v>
      </c>
      <c r="R19" s="20" t="s">
        <v>119</v>
      </c>
      <c r="S19" s="20" t="s">
        <v>119</v>
      </c>
      <c r="T19" s="20" t="s">
        <v>119</v>
      </c>
      <c r="U19" s="20" t="s">
        <v>119</v>
      </c>
      <c r="V19" s="20" t="s">
        <v>119</v>
      </c>
      <c r="W19" s="20" t="s">
        <v>119</v>
      </c>
      <c r="X19" s="20">
        <v>33</v>
      </c>
      <c r="Y19" s="20" t="s">
        <v>34</v>
      </c>
      <c r="Z19" s="20">
        <v>33</v>
      </c>
      <c r="AA19" s="20" t="s">
        <v>34</v>
      </c>
      <c r="AB19" s="30" t="s">
        <v>119</v>
      </c>
      <c r="AC19" s="30" t="s">
        <v>119</v>
      </c>
      <c r="AD19" s="30" t="s">
        <v>119</v>
      </c>
      <c r="AE19" s="30" t="s">
        <v>119</v>
      </c>
      <c r="AF19" s="30" t="s">
        <v>119</v>
      </c>
      <c r="AG19" s="30">
        <v>1.8082191780821901E-2</v>
      </c>
      <c r="AH19" s="30">
        <v>1.8082191780821901E-2</v>
      </c>
      <c r="AI19" s="20" t="s">
        <v>119</v>
      </c>
      <c r="AJ19" s="20" t="s">
        <v>119</v>
      </c>
      <c r="AK19" s="20" t="s">
        <v>34</v>
      </c>
      <c r="AL19" s="20" t="s">
        <v>119</v>
      </c>
      <c r="AM19" s="20" t="s">
        <v>37</v>
      </c>
      <c r="AN19" s="20" t="s">
        <v>119</v>
      </c>
      <c r="AO19" s="20" t="s">
        <v>119</v>
      </c>
      <c r="AP19" s="20" t="s">
        <v>38</v>
      </c>
      <c r="AQ19" s="20" t="s">
        <v>119</v>
      </c>
      <c r="AR19" s="20" t="s">
        <v>119</v>
      </c>
      <c r="AS19" s="20">
        <v>3</v>
      </c>
      <c r="AT19" s="20" t="s">
        <v>58</v>
      </c>
      <c r="AU19" s="20" t="s">
        <v>286</v>
      </c>
      <c r="AV19" s="20" t="s">
        <v>157</v>
      </c>
      <c r="AW19" s="20" t="s">
        <v>119</v>
      </c>
      <c r="AX19" s="55">
        <v>1</v>
      </c>
      <c r="AY19" s="20" t="s">
        <v>155</v>
      </c>
      <c r="AZ19" s="20" t="s">
        <v>119</v>
      </c>
      <c r="BA19" s="20" t="s">
        <v>119</v>
      </c>
      <c r="BB19" s="20" t="s">
        <v>161</v>
      </c>
      <c r="BC19" s="20" t="s">
        <v>140</v>
      </c>
      <c r="BD19" s="19" t="s">
        <v>285</v>
      </c>
      <c r="BE19" s="20" t="s">
        <v>68</v>
      </c>
      <c r="BF19" s="19" t="s">
        <v>284</v>
      </c>
      <c r="BG19" s="20" t="s">
        <v>146</v>
      </c>
      <c r="BH19" s="20">
        <v>29</v>
      </c>
      <c r="BI19" s="20">
        <v>20</v>
      </c>
      <c r="BJ19" s="1">
        <f t="shared" si="5"/>
        <v>9</v>
      </c>
      <c r="BK19" s="1" t="s">
        <v>262</v>
      </c>
      <c r="BL19" s="7">
        <v>4.9262940493093996</v>
      </c>
      <c r="BM19" s="6">
        <f t="shared" si="7"/>
        <v>1.88976378</v>
      </c>
      <c r="BN19" s="14">
        <v>9</v>
      </c>
      <c r="BO19" s="45">
        <v>0.62992126000000004</v>
      </c>
      <c r="BP19" s="5" t="s">
        <v>119</v>
      </c>
      <c r="BQ19" s="7">
        <v>6.8800826126242303</v>
      </c>
      <c r="BR19" s="1">
        <f t="shared" si="6"/>
        <v>1.2471804591099538</v>
      </c>
      <c r="BS19" s="1">
        <v>8</v>
      </c>
      <c r="BT19" s="45">
        <v>0.44094487999999998</v>
      </c>
      <c r="BU19" s="21" t="s">
        <v>119</v>
      </c>
      <c r="BV19" s="20">
        <v>1</v>
      </c>
      <c r="BW19" s="20" t="s">
        <v>362</v>
      </c>
      <c r="BX19" s="20" t="s">
        <v>363</v>
      </c>
      <c r="BY19" s="20" t="s">
        <v>119</v>
      </c>
      <c r="BZ19" s="24" t="s">
        <v>364</v>
      </c>
    </row>
    <row r="20" spans="1:78" ht="15" customHeight="1" x14ac:dyDescent="0.35">
      <c r="B20" s="20" t="s">
        <v>267</v>
      </c>
      <c r="C20" s="20" t="s">
        <v>296</v>
      </c>
      <c r="D20" s="20">
        <v>2006</v>
      </c>
      <c r="E20" s="20" t="s">
        <v>143</v>
      </c>
      <c r="F20" s="20" t="s">
        <v>277</v>
      </c>
      <c r="G20" s="20" t="s">
        <v>278</v>
      </c>
      <c r="H20" s="20" t="s">
        <v>279</v>
      </c>
      <c r="I20" s="20" t="s">
        <v>280</v>
      </c>
      <c r="J20" s="24" t="s">
        <v>281</v>
      </c>
      <c r="K20" s="24">
        <v>80</v>
      </c>
      <c r="L20" s="24">
        <v>1825</v>
      </c>
      <c r="M20" s="24">
        <v>3650</v>
      </c>
      <c r="N20" s="24" t="s">
        <v>119</v>
      </c>
      <c r="O20" s="24" t="s">
        <v>34</v>
      </c>
      <c r="P20" s="20" t="s">
        <v>32</v>
      </c>
      <c r="Q20" s="20" t="s">
        <v>33</v>
      </c>
      <c r="R20" s="20" t="s">
        <v>119</v>
      </c>
      <c r="S20" s="20" t="s">
        <v>119</v>
      </c>
      <c r="T20" s="20" t="s">
        <v>119</v>
      </c>
      <c r="U20" s="20" t="s">
        <v>119</v>
      </c>
      <c r="V20" s="20" t="s">
        <v>119</v>
      </c>
      <c r="W20" s="20" t="s">
        <v>119</v>
      </c>
      <c r="X20" s="20">
        <v>33</v>
      </c>
      <c r="Y20" s="20" t="s">
        <v>34</v>
      </c>
      <c r="Z20" s="20">
        <v>33</v>
      </c>
      <c r="AA20" s="20" t="s">
        <v>34</v>
      </c>
      <c r="AB20" s="30" t="s">
        <v>119</v>
      </c>
      <c r="AC20" s="30" t="s">
        <v>119</v>
      </c>
      <c r="AD20" s="30" t="s">
        <v>119</v>
      </c>
      <c r="AE20" s="30" t="s">
        <v>119</v>
      </c>
      <c r="AF20" s="30" t="s">
        <v>119</v>
      </c>
      <c r="AG20" s="30">
        <v>1.8082191780821901E-2</v>
      </c>
      <c r="AH20" s="30">
        <v>1.8082191780821901E-2</v>
      </c>
      <c r="AI20" s="20" t="s">
        <v>119</v>
      </c>
      <c r="AJ20" s="20" t="s">
        <v>119</v>
      </c>
      <c r="AK20" s="20" t="s">
        <v>34</v>
      </c>
      <c r="AL20" s="20" t="s">
        <v>119</v>
      </c>
      <c r="AM20" s="20" t="s">
        <v>37</v>
      </c>
      <c r="AN20" s="20" t="s">
        <v>119</v>
      </c>
      <c r="AO20" s="20" t="s">
        <v>119</v>
      </c>
      <c r="AP20" s="20" t="s">
        <v>38</v>
      </c>
      <c r="AQ20" s="20" t="s">
        <v>119</v>
      </c>
      <c r="AR20" s="20" t="s">
        <v>119</v>
      </c>
      <c r="AS20" s="20">
        <v>3</v>
      </c>
      <c r="AT20" s="20" t="s">
        <v>86</v>
      </c>
      <c r="AU20" s="20" t="s">
        <v>149</v>
      </c>
      <c r="AV20" s="20" t="s">
        <v>157</v>
      </c>
      <c r="AW20" s="20" t="s">
        <v>119</v>
      </c>
      <c r="AX20" s="55">
        <v>1</v>
      </c>
      <c r="AY20" s="20" t="s">
        <v>163</v>
      </c>
      <c r="AZ20" s="20" t="s">
        <v>119</v>
      </c>
      <c r="BA20" s="20" t="s">
        <v>119</v>
      </c>
      <c r="BB20" s="20" t="s">
        <v>161</v>
      </c>
      <c r="BC20" s="20" t="s">
        <v>59</v>
      </c>
      <c r="BD20" s="19" t="s">
        <v>282</v>
      </c>
      <c r="BE20" s="20" t="s">
        <v>283</v>
      </c>
      <c r="BF20" s="19" t="s">
        <v>284</v>
      </c>
      <c r="BG20" s="20" t="s">
        <v>147</v>
      </c>
      <c r="BH20" s="20">
        <v>29</v>
      </c>
      <c r="BI20" s="20">
        <v>20</v>
      </c>
      <c r="BJ20" s="1">
        <f t="shared" si="5"/>
        <v>9</v>
      </c>
      <c r="BK20" s="1" t="s">
        <v>262</v>
      </c>
      <c r="BL20" s="7">
        <v>4.0813799203892002E-3</v>
      </c>
      <c r="BM20" s="6">
        <f t="shared" si="7"/>
        <v>1.5789600000000001E-3</v>
      </c>
      <c r="BN20" s="14">
        <v>9</v>
      </c>
      <c r="BO20" s="45">
        <v>5.2632000000000004E-4</v>
      </c>
      <c r="BP20" s="5" t="s">
        <v>119</v>
      </c>
      <c r="BQ20" s="7">
        <v>7.8743918620079595E-3</v>
      </c>
      <c r="BR20" s="1">
        <f t="shared" si="6"/>
        <v>7.44323225293958E-3</v>
      </c>
      <c r="BS20" s="1">
        <v>8</v>
      </c>
      <c r="BT20" s="45">
        <v>2.6315800000000001E-3</v>
      </c>
      <c r="BU20" s="21" t="s">
        <v>119</v>
      </c>
      <c r="BV20" s="20">
        <v>1</v>
      </c>
      <c r="BW20" s="20" t="s">
        <v>362</v>
      </c>
      <c r="BX20" s="20" t="s">
        <v>363</v>
      </c>
      <c r="BY20" s="20" t="s">
        <v>119</v>
      </c>
      <c r="BZ20" s="24" t="s">
        <v>364</v>
      </c>
    </row>
    <row r="21" spans="1:78" ht="15" customHeight="1" x14ac:dyDescent="0.35">
      <c r="B21" s="20" t="s">
        <v>267</v>
      </c>
      <c r="C21" s="20" t="s">
        <v>296</v>
      </c>
      <c r="D21" s="20">
        <v>2006</v>
      </c>
      <c r="E21" s="20" t="s">
        <v>143</v>
      </c>
      <c r="F21" s="20" t="s">
        <v>277</v>
      </c>
      <c r="G21" s="20" t="s">
        <v>278</v>
      </c>
      <c r="H21" s="20" t="s">
        <v>279</v>
      </c>
      <c r="I21" s="20" t="s">
        <v>280</v>
      </c>
      <c r="J21" s="24" t="s">
        <v>281</v>
      </c>
      <c r="K21" s="24">
        <v>80</v>
      </c>
      <c r="L21" s="24">
        <v>1825</v>
      </c>
      <c r="M21" s="24">
        <v>3650</v>
      </c>
      <c r="N21" s="24" t="s">
        <v>119</v>
      </c>
      <c r="O21" s="24" t="s">
        <v>34</v>
      </c>
      <c r="P21" s="20" t="s">
        <v>32</v>
      </c>
      <c r="Q21" s="20" t="s">
        <v>33</v>
      </c>
      <c r="R21" s="20" t="s">
        <v>119</v>
      </c>
      <c r="S21" s="20" t="s">
        <v>119</v>
      </c>
      <c r="T21" s="20" t="s">
        <v>119</v>
      </c>
      <c r="U21" s="20" t="s">
        <v>119</v>
      </c>
      <c r="V21" s="20" t="s">
        <v>119</v>
      </c>
      <c r="W21" s="20" t="s">
        <v>119</v>
      </c>
      <c r="X21" s="20">
        <v>33</v>
      </c>
      <c r="Y21" s="20" t="s">
        <v>34</v>
      </c>
      <c r="Z21" s="20">
        <v>33</v>
      </c>
      <c r="AA21" s="20" t="s">
        <v>34</v>
      </c>
      <c r="AB21" s="30" t="s">
        <v>119</v>
      </c>
      <c r="AC21" s="30" t="s">
        <v>119</v>
      </c>
      <c r="AD21" s="30" t="s">
        <v>119</v>
      </c>
      <c r="AE21" s="30" t="s">
        <v>119</v>
      </c>
      <c r="AF21" s="30" t="s">
        <v>119</v>
      </c>
      <c r="AG21" s="30">
        <v>1.8082191780821901E-2</v>
      </c>
      <c r="AH21" s="30">
        <v>1.8082191780821901E-2</v>
      </c>
      <c r="AI21" s="20" t="s">
        <v>119</v>
      </c>
      <c r="AJ21" s="20" t="s">
        <v>119</v>
      </c>
      <c r="AK21" s="20" t="s">
        <v>34</v>
      </c>
      <c r="AL21" s="20" t="s">
        <v>119</v>
      </c>
      <c r="AM21" s="20" t="s">
        <v>37</v>
      </c>
      <c r="AN21" s="20" t="s">
        <v>119</v>
      </c>
      <c r="AO21" s="20" t="s">
        <v>119</v>
      </c>
      <c r="AP21" s="20" t="s">
        <v>38</v>
      </c>
      <c r="AQ21" s="20" t="s">
        <v>119</v>
      </c>
      <c r="AR21" s="20" t="s">
        <v>119</v>
      </c>
      <c r="AS21" s="20">
        <v>3</v>
      </c>
      <c r="AT21" s="20" t="s">
        <v>86</v>
      </c>
      <c r="AU21" s="20" t="s">
        <v>149</v>
      </c>
      <c r="AV21" s="20" t="s">
        <v>157</v>
      </c>
      <c r="AW21" s="20" t="s">
        <v>119</v>
      </c>
      <c r="AX21" s="55">
        <v>1</v>
      </c>
      <c r="AY21" s="20" t="s">
        <v>155</v>
      </c>
      <c r="AZ21" s="20" t="s">
        <v>119</v>
      </c>
      <c r="BA21" s="20" t="s">
        <v>119</v>
      </c>
      <c r="BB21" s="20" t="s">
        <v>161</v>
      </c>
      <c r="BC21" s="20" t="s">
        <v>140</v>
      </c>
      <c r="BD21" s="19" t="s">
        <v>285</v>
      </c>
      <c r="BE21" s="20" t="s">
        <v>68</v>
      </c>
      <c r="BF21" s="19" t="s">
        <v>284</v>
      </c>
      <c r="BG21" s="20" t="s">
        <v>148</v>
      </c>
      <c r="BH21" s="20">
        <v>29</v>
      </c>
      <c r="BI21" s="20">
        <v>20</v>
      </c>
      <c r="BJ21" s="1">
        <f t="shared" si="5"/>
        <v>9</v>
      </c>
      <c r="BK21" s="1" t="s">
        <v>262</v>
      </c>
      <c r="BL21" s="7">
        <v>3.28823133826495</v>
      </c>
      <c r="BM21" s="6">
        <f t="shared" si="7"/>
        <v>0.76180227</v>
      </c>
      <c r="BN21" s="14">
        <v>9</v>
      </c>
      <c r="BO21" s="45">
        <v>0.25393409</v>
      </c>
      <c r="BP21" s="5" t="s">
        <v>119</v>
      </c>
      <c r="BQ21" s="7">
        <v>7.0972427706792196</v>
      </c>
      <c r="BR21" s="1">
        <f t="shared" si="6"/>
        <v>1.6160218377237359</v>
      </c>
      <c r="BS21" s="1">
        <v>8</v>
      </c>
      <c r="BT21" s="45">
        <v>0.57135000000000002</v>
      </c>
      <c r="BU21" s="21" t="s">
        <v>119</v>
      </c>
      <c r="BV21" s="20">
        <v>1</v>
      </c>
      <c r="BW21" s="20" t="s">
        <v>362</v>
      </c>
      <c r="BX21" s="20" t="s">
        <v>363</v>
      </c>
      <c r="BY21" s="20" t="s">
        <v>119</v>
      </c>
      <c r="BZ21" s="24" t="s">
        <v>364</v>
      </c>
    </row>
    <row r="22" spans="1:78" ht="15" customHeight="1" x14ac:dyDescent="0.35">
      <c r="B22" s="20" t="s">
        <v>267</v>
      </c>
      <c r="C22" s="20" t="s">
        <v>296</v>
      </c>
      <c r="D22" s="20">
        <v>2006</v>
      </c>
      <c r="E22" s="20" t="s">
        <v>143</v>
      </c>
      <c r="F22" s="20" t="s">
        <v>277</v>
      </c>
      <c r="G22" s="20" t="s">
        <v>278</v>
      </c>
      <c r="H22" s="20" t="s">
        <v>279</v>
      </c>
      <c r="I22" s="20" t="s">
        <v>280</v>
      </c>
      <c r="J22" s="24" t="s">
        <v>281</v>
      </c>
      <c r="K22" s="24">
        <v>80</v>
      </c>
      <c r="L22" s="24">
        <v>1825</v>
      </c>
      <c r="M22" s="24">
        <v>3650</v>
      </c>
      <c r="N22" s="24" t="s">
        <v>119</v>
      </c>
      <c r="O22" s="24" t="s">
        <v>34</v>
      </c>
      <c r="P22" s="20" t="s">
        <v>32</v>
      </c>
      <c r="Q22" s="20" t="s">
        <v>33</v>
      </c>
      <c r="R22" s="20" t="s">
        <v>119</v>
      </c>
      <c r="S22" s="20" t="s">
        <v>119</v>
      </c>
      <c r="T22" s="20" t="s">
        <v>119</v>
      </c>
      <c r="U22" s="20" t="s">
        <v>119</v>
      </c>
      <c r="V22" s="20" t="s">
        <v>119</v>
      </c>
      <c r="W22" s="20" t="s">
        <v>119</v>
      </c>
      <c r="X22" s="20">
        <v>33</v>
      </c>
      <c r="Y22" s="20" t="s">
        <v>34</v>
      </c>
      <c r="Z22" s="20">
        <v>33</v>
      </c>
      <c r="AA22" s="20" t="s">
        <v>34</v>
      </c>
      <c r="AB22" s="30" t="s">
        <v>119</v>
      </c>
      <c r="AC22" s="30" t="s">
        <v>119</v>
      </c>
      <c r="AD22" s="30" t="s">
        <v>119</v>
      </c>
      <c r="AE22" s="30" t="s">
        <v>119</v>
      </c>
      <c r="AF22" s="30" t="s">
        <v>119</v>
      </c>
      <c r="AG22" s="30">
        <v>1.8082191780821901E-2</v>
      </c>
      <c r="AH22" s="30">
        <v>1.8082191780821901E-2</v>
      </c>
      <c r="AI22" s="20" t="s">
        <v>119</v>
      </c>
      <c r="AJ22" s="20" t="s">
        <v>119</v>
      </c>
      <c r="AK22" s="20" t="s">
        <v>34</v>
      </c>
      <c r="AL22" s="20" t="s">
        <v>119</v>
      </c>
      <c r="AM22" s="20" t="s">
        <v>37</v>
      </c>
      <c r="AN22" s="20" t="s">
        <v>119</v>
      </c>
      <c r="AO22" s="20" t="s">
        <v>119</v>
      </c>
      <c r="AP22" s="20" t="s">
        <v>38</v>
      </c>
      <c r="AQ22" s="20" t="s">
        <v>119</v>
      </c>
      <c r="AR22" s="20" t="s">
        <v>119</v>
      </c>
      <c r="AS22" s="20">
        <v>3</v>
      </c>
      <c r="AT22" s="20" t="s">
        <v>57</v>
      </c>
      <c r="AU22" s="20" t="s">
        <v>57</v>
      </c>
      <c r="AV22" s="20" t="s">
        <v>119</v>
      </c>
      <c r="AW22" s="20" t="s">
        <v>119</v>
      </c>
      <c r="AX22" s="55">
        <v>0</v>
      </c>
      <c r="AY22" s="20" t="s">
        <v>119</v>
      </c>
      <c r="AZ22" s="20" t="s">
        <v>119</v>
      </c>
      <c r="BA22" s="20" t="s">
        <v>119</v>
      </c>
      <c r="BB22" s="20" t="s">
        <v>170</v>
      </c>
      <c r="BC22" s="20" t="s">
        <v>171</v>
      </c>
      <c r="BD22" s="19" t="s">
        <v>287</v>
      </c>
      <c r="BE22" s="20" t="s">
        <v>185</v>
      </c>
      <c r="BF22" s="19" t="s">
        <v>288</v>
      </c>
      <c r="BG22" s="20" t="s">
        <v>56</v>
      </c>
      <c r="BH22" s="20">
        <v>29</v>
      </c>
      <c r="BI22" s="20">
        <v>20</v>
      </c>
      <c r="BJ22" s="1">
        <f t="shared" si="5"/>
        <v>9</v>
      </c>
      <c r="BK22" s="1" t="s">
        <v>262</v>
      </c>
      <c r="BL22" s="7">
        <v>124.705882352941</v>
      </c>
      <c r="BM22" s="6">
        <f t="shared" si="7"/>
        <v>21.176470588236029</v>
      </c>
      <c r="BN22" s="14">
        <v>9</v>
      </c>
      <c r="BO22" s="45">
        <v>7.0588235294120096</v>
      </c>
      <c r="BP22" s="5" t="s">
        <v>119</v>
      </c>
      <c r="BQ22" s="7">
        <v>158.23529411764699</v>
      </c>
      <c r="BR22" s="1">
        <f t="shared" si="6"/>
        <v>19.963321489171083</v>
      </c>
      <c r="BS22" s="1">
        <v>8</v>
      </c>
      <c r="BT22" s="45">
        <v>7.0580999999999996</v>
      </c>
      <c r="BU22" s="21" t="s">
        <v>119</v>
      </c>
      <c r="BV22" s="20">
        <v>1</v>
      </c>
      <c r="BW22" s="20" t="s">
        <v>362</v>
      </c>
      <c r="BX22" s="20" t="s">
        <v>363</v>
      </c>
      <c r="BY22" s="20" t="s">
        <v>119</v>
      </c>
      <c r="BZ22" s="24" t="s">
        <v>364</v>
      </c>
    </row>
    <row r="23" spans="1:78" ht="15" customHeight="1" x14ac:dyDescent="0.35">
      <c r="A23" s="20" t="s">
        <v>375</v>
      </c>
      <c r="B23" s="20" t="s">
        <v>267</v>
      </c>
      <c r="C23" s="20" t="s">
        <v>296</v>
      </c>
      <c r="D23" s="20">
        <v>2006</v>
      </c>
      <c r="E23" s="20" t="s">
        <v>143</v>
      </c>
      <c r="F23" s="20" t="s">
        <v>277</v>
      </c>
      <c r="G23" s="20" t="s">
        <v>278</v>
      </c>
      <c r="H23" s="20" t="s">
        <v>279</v>
      </c>
      <c r="I23" s="20" t="s">
        <v>280</v>
      </c>
      <c r="J23" s="24" t="s">
        <v>281</v>
      </c>
      <c r="K23" s="24">
        <v>80</v>
      </c>
      <c r="L23" s="24">
        <v>1825</v>
      </c>
      <c r="M23" s="24">
        <v>3650</v>
      </c>
      <c r="N23" s="24" t="s">
        <v>119</v>
      </c>
      <c r="O23" s="24" t="s">
        <v>34</v>
      </c>
      <c r="P23" s="20" t="s">
        <v>32</v>
      </c>
      <c r="Q23" s="20" t="s">
        <v>33</v>
      </c>
      <c r="R23" s="20" t="s">
        <v>119</v>
      </c>
      <c r="S23" s="20" t="s">
        <v>119</v>
      </c>
      <c r="T23" s="20" t="s">
        <v>119</v>
      </c>
      <c r="U23" s="20" t="s">
        <v>119</v>
      </c>
      <c r="V23" s="20" t="s">
        <v>119</v>
      </c>
      <c r="W23" s="20" t="s">
        <v>119</v>
      </c>
      <c r="X23" s="20">
        <v>33</v>
      </c>
      <c r="Y23" s="20" t="s">
        <v>34</v>
      </c>
      <c r="Z23" s="20">
        <v>33</v>
      </c>
      <c r="AA23" s="20" t="s">
        <v>34</v>
      </c>
      <c r="AB23" s="30" t="s">
        <v>119</v>
      </c>
      <c r="AC23" s="30" t="s">
        <v>119</v>
      </c>
      <c r="AD23" s="30" t="s">
        <v>119</v>
      </c>
      <c r="AE23" s="30" t="s">
        <v>119</v>
      </c>
      <c r="AF23" s="30" t="s">
        <v>119</v>
      </c>
      <c r="AG23" s="30">
        <v>1.8082191780821901E-2</v>
      </c>
      <c r="AH23" s="30">
        <v>1.8082191780821901E-2</v>
      </c>
      <c r="AI23" s="20" t="s">
        <v>119</v>
      </c>
      <c r="AJ23" s="20" t="s">
        <v>119</v>
      </c>
      <c r="AK23" s="20" t="s">
        <v>34</v>
      </c>
      <c r="AL23" s="20" t="s">
        <v>119</v>
      </c>
      <c r="AM23" s="20" t="s">
        <v>37</v>
      </c>
      <c r="AN23" s="20" t="s">
        <v>119</v>
      </c>
      <c r="AO23" s="20" t="s">
        <v>119</v>
      </c>
      <c r="AP23" s="20" t="s">
        <v>38</v>
      </c>
      <c r="AQ23" s="20" t="s">
        <v>119</v>
      </c>
      <c r="AR23" s="20" t="s">
        <v>119</v>
      </c>
      <c r="AS23" s="20">
        <v>3</v>
      </c>
      <c r="AT23" s="20" t="s">
        <v>57</v>
      </c>
      <c r="AU23" s="20" t="s">
        <v>57</v>
      </c>
      <c r="AV23" s="20" t="s">
        <v>119</v>
      </c>
      <c r="AW23" s="20" t="s">
        <v>119</v>
      </c>
      <c r="AX23" s="55">
        <v>1</v>
      </c>
      <c r="AY23" s="20" t="s">
        <v>119</v>
      </c>
      <c r="AZ23" s="20" t="s">
        <v>119</v>
      </c>
      <c r="BA23" s="20" t="s">
        <v>119</v>
      </c>
      <c r="BB23" s="20" t="s">
        <v>97</v>
      </c>
      <c r="BC23" s="20" t="s">
        <v>139</v>
      </c>
      <c r="BD23" s="19" t="s">
        <v>289</v>
      </c>
      <c r="BE23" s="20" t="s">
        <v>185</v>
      </c>
      <c r="BF23" s="19" t="s">
        <v>288</v>
      </c>
      <c r="BG23" s="20" t="s">
        <v>84</v>
      </c>
      <c r="BH23" s="20">
        <v>29</v>
      </c>
      <c r="BI23" s="20">
        <v>20</v>
      </c>
      <c r="BJ23" s="1">
        <f t="shared" si="5"/>
        <v>9</v>
      </c>
      <c r="BK23" s="1" t="s">
        <v>262</v>
      </c>
      <c r="BL23" s="5">
        <v>8.2684377480000002</v>
      </c>
      <c r="BM23" s="6">
        <f t="shared" si="7"/>
        <v>3.4044409199999999</v>
      </c>
      <c r="BN23" s="14">
        <v>9</v>
      </c>
      <c r="BO23" s="6">
        <v>1.13481364</v>
      </c>
      <c r="BP23" s="5" t="s">
        <v>119</v>
      </c>
      <c r="BQ23" s="7">
        <v>14.6847739888977</v>
      </c>
      <c r="BR23" s="1">
        <f t="shared" si="6"/>
        <v>3.2097376808180158</v>
      </c>
      <c r="BS23" s="1">
        <v>8</v>
      </c>
      <c r="BT23" s="45">
        <v>1.1348136399682005</v>
      </c>
      <c r="BU23" s="21" t="s">
        <v>119</v>
      </c>
      <c r="BV23" s="20">
        <v>1</v>
      </c>
      <c r="BW23" s="20" t="s">
        <v>362</v>
      </c>
      <c r="BX23" s="20" t="s">
        <v>363</v>
      </c>
      <c r="BY23" s="20" t="s">
        <v>119</v>
      </c>
      <c r="BZ23" s="24" t="s">
        <v>364</v>
      </c>
    </row>
    <row r="24" spans="1:78" ht="15" customHeight="1" x14ac:dyDescent="0.35">
      <c r="B24" s="20" t="s">
        <v>267</v>
      </c>
      <c r="C24" s="20" t="s">
        <v>296</v>
      </c>
      <c r="D24" s="20">
        <v>2006</v>
      </c>
      <c r="E24" s="20" t="s">
        <v>143</v>
      </c>
      <c r="F24" s="20" t="s">
        <v>277</v>
      </c>
      <c r="G24" s="20" t="s">
        <v>278</v>
      </c>
      <c r="H24" s="20" t="s">
        <v>279</v>
      </c>
      <c r="I24" s="20" t="s">
        <v>280</v>
      </c>
      <c r="J24" s="24" t="s">
        <v>281</v>
      </c>
      <c r="K24" s="24">
        <v>80</v>
      </c>
      <c r="L24" s="24">
        <v>1825</v>
      </c>
      <c r="M24" s="24">
        <v>3650</v>
      </c>
      <c r="N24" s="24" t="s">
        <v>119</v>
      </c>
      <c r="O24" s="24" t="s">
        <v>34</v>
      </c>
      <c r="P24" s="20" t="s">
        <v>32</v>
      </c>
      <c r="Q24" s="20" t="s">
        <v>33</v>
      </c>
      <c r="R24" s="20" t="s">
        <v>119</v>
      </c>
      <c r="S24" s="20" t="s">
        <v>119</v>
      </c>
      <c r="T24" s="20" t="s">
        <v>119</v>
      </c>
      <c r="U24" s="20" t="s">
        <v>119</v>
      </c>
      <c r="V24" s="20" t="s">
        <v>119</v>
      </c>
      <c r="W24" s="20" t="s">
        <v>119</v>
      </c>
      <c r="X24" s="20">
        <v>33</v>
      </c>
      <c r="Y24" s="20" t="s">
        <v>34</v>
      </c>
      <c r="Z24" s="20">
        <v>33</v>
      </c>
      <c r="AA24" s="20" t="s">
        <v>34</v>
      </c>
      <c r="AB24" s="30" t="s">
        <v>119</v>
      </c>
      <c r="AC24" s="30" t="s">
        <v>119</v>
      </c>
      <c r="AD24" s="30" t="s">
        <v>119</v>
      </c>
      <c r="AE24" s="30" t="s">
        <v>119</v>
      </c>
      <c r="AF24" s="30" t="s">
        <v>119</v>
      </c>
      <c r="AG24" s="30">
        <v>1.8082191780821901E-2</v>
      </c>
      <c r="AH24" s="30">
        <v>1.8082191780821901E-2</v>
      </c>
      <c r="AI24" s="20" t="s">
        <v>119</v>
      </c>
      <c r="AJ24" s="20" t="s">
        <v>119</v>
      </c>
      <c r="AK24" s="20" t="s">
        <v>34</v>
      </c>
      <c r="AL24" s="20" t="s">
        <v>119</v>
      </c>
      <c r="AM24" s="20" t="s">
        <v>37</v>
      </c>
      <c r="AN24" s="20" t="s">
        <v>119</v>
      </c>
      <c r="AO24" s="20" t="s">
        <v>119</v>
      </c>
      <c r="AP24" s="20" t="s">
        <v>38</v>
      </c>
      <c r="AQ24" s="20" t="s">
        <v>119</v>
      </c>
      <c r="AR24" s="20" t="s">
        <v>119</v>
      </c>
      <c r="AS24" s="20">
        <v>3</v>
      </c>
      <c r="AT24" s="20" t="s">
        <v>57</v>
      </c>
      <c r="AU24" s="20" t="s">
        <v>57</v>
      </c>
      <c r="AV24" s="20" t="s">
        <v>119</v>
      </c>
      <c r="AW24" s="20" t="s">
        <v>119</v>
      </c>
      <c r="AX24" s="55">
        <v>1</v>
      </c>
      <c r="AY24" s="20" t="s">
        <v>119</v>
      </c>
      <c r="AZ24" s="20" t="s">
        <v>119</v>
      </c>
      <c r="BA24" s="20" t="s">
        <v>119</v>
      </c>
      <c r="BB24" s="20" t="s">
        <v>97</v>
      </c>
      <c r="BC24" s="20" t="s">
        <v>98</v>
      </c>
      <c r="BD24" s="19" t="s">
        <v>290</v>
      </c>
      <c r="BE24" s="20" t="s">
        <v>185</v>
      </c>
      <c r="BF24" s="19" t="s">
        <v>288</v>
      </c>
      <c r="BG24" s="20" t="s">
        <v>128</v>
      </c>
      <c r="BH24" s="20">
        <v>29</v>
      </c>
      <c r="BI24" s="20">
        <v>20</v>
      </c>
      <c r="BJ24" s="1">
        <f t="shared" si="5"/>
        <v>9</v>
      </c>
      <c r="BK24" s="1" t="s">
        <v>262</v>
      </c>
      <c r="BL24" s="7">
        <v>2.8197593059054</v>
      </c>
      <c r="BM24" s="6">
        <f t="shared" si="7"/>
        <v>1.7758186397984703</v>
      </c>
      <c r="BN24" s="14">
        <v>9</v>
      </c>
      <c r="BO24" s="45">
        <v>0.59193954659949011</v>
      </c>
      <c r="BP24" s="5" t="s">
        <v>119</v>
      </c>
      <c r="BQ24" s="7">
        <v>2.7791771620486898</v>
      </c>
      <c r="BR24" s="1">
        <f t="shared" si="6"/>
        <v>2.3510855193104296</v>
      </c>
      <c r="BS24" s="1">
        <v>8</v>
      </c>
      <c r="BT24" s="45">
        <v>0.83123425692695019</v>
      </c>
      <c r="BU24" s="21" t="s">
        <v>119</v>
      </c>
      <c r="BV24" s="20">
        <v>1</v>
      </c>
      <c r="BW24" s="20" t="s">
        <v>362</v>
      </c>
      <c r="BX24" s="20" t="s">
        <v>363</v>
      </c>
      <c r="BY24" s="20" t="s">
        <v>119</v>
      </c>
      <c r="BZ24" s="24" t="s">
        <v>364</v>
      </c>
    </row>
    <row r="25" spans="1:78" ht="15" customHeight="1" x14ac:dyDescent="0.35">
      <c r="B25" s="20" t="s">
        <v>267</v>
      </c>
      <c r="C25" s="20" t="s">
        <v>296</v>
      </c>
      <c r="D25" s="20">
        <v>2006</v>
      </c>
      <c r="E25" s="20" t="s">
        <v>143</v>
      </c>
      <c r="F25" s="20" t="s">
        <v>277</v>
      </c>
      <c r="G25" s="20" t="s">
        <v>278</v>
      </c>
      <c r="H25" s="20" t="s">
        <v>279</v>
      </c>
      <c r="I25" s="20" t="s">
        <v>280</v>
      </c>
      <c r="J25" s="24" t="s">
        <v>281</v>
      </c>
      <c r="K25" s="24">
        <v>80</v>
      </c>
      <c r="L25" s="24">
        <v>1825</v>
      </c>
      <c r="M25" s="24">
        <v>3650</v>
      </c>
      <c r="N25" s="24" t="s">
        <v>119</v>
      </c>
      <c r="O25" s="24" t="s">
        <v>34</v>
      </c>
      <c r="P25" s="20" t="s">
        <v>32</v>
      </c>
      <c r="Q25" s="20" t="s">
        <v>33</v>
      </c>
      <c r="R25" s="20" t="s">
        <v>119</v>
      </c>
      <c r="S25" s="20" t="s">
        <v>119</v>
      </c>
      <c r="T25" s="20" t="s">
        <v>119</v>
      </c>
      <c r="U25" s="20" t="s">
        <v>119</v>
      </c>
      <c r="V25" s="20" t="s">
        <v>119</v>
      </c>
      <c r="W25" s="20" t="s">
        <v>119</v>
      </c>
      <c r="X25" s="20">
        <v>33</v>
      </c>
      <c r="Y25" s="20" t="s">
        <v>34</v>
      </c>
      <c r="Z25" s="20">
        <v>33</v>
      </c>
      <c r="AA25" s="20" t="s">
        <v>34</v>
      </c>
      <c r="AB25" s="30" t="s">
        <v>119</v>
      </c>
      <c r="AC25" s="30" t="s">
        <v>119</v>
      </c>
      <c r="AD25" s="30" t="s">
        <v>119</v>
      </c>
      <c r="AE25" s="30" t="s">
        <v>119</v>
      </c>
      <c r="AF25" s="30" t="s">
        <v>119</v>
      </c>
      <c r="AG25" s="30">
        <v>1.8082191780821901E-2</v>
      </c>
      <c r="AH25" s="30">
        <v>1.8082191780821901E-2</v>
      </c>
      <c r="AI25" s="20" t="s">
        <v>119</v>
      </c>
      <c r="AJ25" s="20" t="s">
        <v>119</v>
      </c>
      <c r="AK25" s="20" t="s">
        <v>34</v>
      </c>
      <c r="AL25" s="20" t="s">
        <v>119</v>
      </c>
      <c r="AM25" s="20" t="s">
        <v>37</v>
      </c>
      <c r="AN25" s="20" t="s">
        <v>119</v>
      </c>
      <c r="AO25" s="20" t="s">
        <v>119</v>
      </c>
      <c r="AP25" s="20" t="s">
        <v>38</v>
      </c>
      <c r="AQ25" s="20" t="s">
        <v>119</v>
      </c>
      <c r="AR25" s="20" t="s">
        <v>119</v>
      </c>
      <c r="AS25" s="20">
        <v>3</v>
      </c>
      <c r="AT25" s="20" t="s">
        <v>58</v>
      </c>
      <c r="AU25" s="20" t="s">
        <v>286</v>
      </c>
      <c r="AV25" s="20" t="s">
        <v>119</v>
      </c>
      <c r="AW25" s="20" t="s">
        <v>119</v>
      </c>
      <c r="AX25" s="55">
        <v>0</v>
      </c>
      <c r="AY25" s="20" t="s">
        <v>119</v>
      </c>
      <c r="AZ25" s="20" t="s">
        <v>119</v>
      </c>
      <c r="BA25" s="20" t="s">
        <v>119</v>
      </c>
      <c r="BB25" s="20" t="s">
        <v>170</v>
      </c>
      <c r="BC25" s="20" t="s">
        <v>171</v>
      </c>
      <c r="BD25" s="19" t="s">
        <v>287</v>
      </c>
      <c r="BE25" s="20" t="s">
        <v>185</v>
      </c>
      <c r="BF25" s="19" t="s">
        <v>288</v>
      </c>
      <c r="BG25" s="20" t="s">
        <v>56</v>
      </c>
      <c r="BH25" s="20">
        <v>29</v>
      </c>
      <c r="BI25" s="20">
        <v>20</v>
      </c>
      <c r="BJ25" s="1">
        <f t="shared" si="5"/>
        <v>9</v>
      </c>
      <c r="BK25" s="1" t="s">
        <v>262</v>
      </c>
      <c r="BL25" s="7">
        <v>217.06115747708299</v>
      </c>
      <c r="BM25" s="6">
        <f t="shared" si="7"/>
        <v>84.71747160000001</v>
      </c>
      <c r="BN25" s="14">
        <v>9</v>
      </c>
      <c r="BO25" s="6">
        <v>28.239157200000001</v>
      </c>
      <c r="BP25" s="5" t="s">
        <v>119</v>
      </c>
      <c r="BQ25" s="5">
        <v>286.50978249999997</v>
      </c>
      <c r="BR25" s="1">
        <f t="shared" si="6"/>
        <v>29.952149330326566</v>
      </c>
      <c r="BS25" s="1">
        <v>8</v>
      </c>
      <c r="BT25" s="45">
        <v>10.589683951293011</v>
      </c>
      <c r="BU25" s="21" t="s">
        <v>119</v>
      </c>
      <c r="BV25" s="20">
        <v>1</v>
      </c>
      <c r="BW25" s="20" t="s">
        <v>362</v>
      </c>
      <c r="BX25" s="20" t="s">
        <v>363</v>
      </c>
      <c r="BY25" s="20" t="s">
        <v>119</v>
      </c>
      <c r="BZ25" s="24" t="s">
        <v>364</v>
      </c>
    </row>
    <row r="26" spans="1:78" ht="15" customHeight="1" x14ac:dyDescent="0.35">
      <c r="B26" s="20" t="s">
        <v>267</v>
      </c>
      <c r="C26" s="20" t="s">
        <v>296</v>
      </c>
      <c r="D26" s="20">
        <v>2006</v>
      </c>
      <c r="E26" s="20" t="s">
        <v>143</v>
      </c>
      <c r="F26" s="20" t="s">
        <v>277</v>
      </c>
      <c r="G26" s="20" t="s">
        <v>278</v>
      </c>
      <c r="H26" s="20" t="s">
        <v>279</v>
      </c>
      <c r="I26" s="20" t="s">
        <v>280</v>
      </c>
      <c r="J26" s="24" t="s">
        <v>281</v>
      </c>
      <c r="K26" s="24">
        <v>80</v>
      </c>
      <c r="L26" s="24">
        <v>1825</v>
      </c>
      <c r="M26" s="24">
        <v>3650</v>
      </c>
      <c r="N26" s="24" t="s">
        <v>119</v>
      </c>
      <c r="O26" s="24" t="s">
        <v>34</v>
      </c>
      <c r="P26" s="20" t="s">
        <v>32</v>
      </c>
      <c r="Q26" s="20" t="s">
        <v>33</v>
      </c>
      <c r="R26" s="20" t="s">
        <v>119</v>
      </c>
      <c r="S26" s="20" t="s">
        <v>119</v>
      </c>
      <c r="T26" s="20" t="s">
        <v>119</v>
      </c>
      <c r="U26" s="20" t="s">
        <v>119</v>
      </c>
      <c r="V26" s="20" t="s">
        <v>119</v>
      </c>
      <c r="W26" s="20" t="s">
        <v>119</v>
      </c>
      <c r="X26" s="20">
        <v>33</v>
      </c>
      <c r="Y26" s="20" t="s">
        <v>34</v>
      </c>
      <c r="Z26" s="20">
        <v>33</v>
      </c>
      <c r="AA26" s="20" t="s">
        <v>34</v>
      </c>
      <c r="AB26" s="30" t="s">
        <v>119</v>
      </c>
      <c r="AC26" s="30" t="s">
        <v>119</v>
      </c>
      <c r="AD26" s="30" t="s">
        <v>119</v>
      </c>
      <c r="AE26" s="30" t="s">
        <v>119</v>
      </c>
      <c r="AF26" s="30" t="s">
        <v>119</v>
      </c>
      <c r="AG26" s="30">
        <v>1.8082191780821901E-2</v>
      </c>
      <c r="AH26" s="30">
        <v>1.8082191780821901E-2</v>
      </c>
      <c r="AI26" s="20" t="s">
        <v>119</v>
      </c>
      <c r="AJ26" s="20" t="s">
        <v>119</v>
      </c>
      <c r="AK26" s="20" t="s">
        <v>34</v>
      </c>
      <c r="AL26" s="20" t="s">
        <v>119</v>
      </c>
      <c r="AM26" s="20" t="s">
        <v>37</v>
      </c>
      <c r="AN26" s="20" t="s">
        <v>119</v>
      </c>
      <c r="AO26" s="20" t="s">
        <v>119</v>
      </c>
      <c r="AP26" s="20" t="s">
        <v>38</v>
      </c>
      <c r="AQ26" s="20" t="s">
        <v>119</v>
      </c>
      <c r="AR26" s="20" t="s">
        <v>119</v>
      </c>
      <c r="AS26" s="20">
        <v>3</v>
      </c>
      <c r="AT26" s="20" t="s">
        <v>58</v>
      </c>
      <c r="AU26" s="20" t="s">
        <v>286</v>
      </c>
      <c r="AV26" s="20" t="s">
        <v>119</v>
      </c>
      <c r="AW26" s="20" t="s">
        <v>119</v>
      </c>
      <c r="AX26" s="55">
        <v>1</v>
      </c>
      <c r="AY26" s="20" t="s">
        <v>119</v>
      </c>
      <c r="AZ26" s="20" t="s">
        <v>119</v>
      </c>
      <c r="BA26" s="20" t="s">
        <v>119</v>
      </c>
      <c r="BB26" s="20" t="s">
        <v>97</v>
      </c>
      <c r="BC26" s="20" t="s">
        <v>139</v>
      </c>
      <c r="BD26" s="19" t="s">
        <v>289</v>
      </c>
      <c r="BE26" s="20" t="s">
        <v>185</v>
      </c>
      <c r="BF26" s="19" t="s">
        <v>288</v>
      </c>
      <c r="BG26" s="20" t="s">
        <v>84</v>
      </c>
      <c r="BH26" s="20">
        <v>29</v>
      </c>
      <c r="BI26" s="20">
        <v>20</v>
      </c>
      <c r="BJ26" s="1">
        <f t="shared" si="5"/>
        <v>9</v>
      </c>
      <c r="BK26" s="1" t="s">
        <v>262</v>
      </c>
      <c r="BL26" s="7">
        <v>4.7143138671746696</v>
      </c>
      <c r="BM26" s="6">
        <f t="shared" si="7"/>
        <v>2.4937265969999998</v>
      </c>
      <c r="BN26" s="14">
        <v>9</v>
      </c>
      <c r="BO26" s="6">
        <v>0.83124219899999996</v>
      </c>
      <c r="BP26" s="5" t="s">
        <v>119</v>
      </c>
      <c r="BQ26" s="7">
        <v>3.8121263877028202</v>
      </c>
      <c r="BR26" s="1">
        <f t="shared" si="6"/>
        <v>2.3544523763241942</v>
      </c>
      <c r="BS26" s="1">
        <v>8</v>
      </c>
      <c r="BT26" s="45">
        <v>0.83242462063980938</v>
      </c>
      <c r="BU26" s="21" t="s">
        <v>119</v>
      </c>
      <c r="BV26" s="20">
        <v>1</v>
      </c>
      <c r="BW26" s="20" t="s">
        <v>362</v>
      </c>
      <c r="BX26" s="20" t="s">
        <v>363</v>
      </c>
      <c r="BY26" s="20" t="s">
        <v>119</v>
      </c>
      <c r="BZ26" s="24" t="s">
        <v>364</v>
      </c>
    </row>
    <row r="27" spans="1:78" ht="15" customHeight="1" x14ac:dyDescent="0.35">
      <c r="B27" s="20" t="s">
        <v>267</v>
      </c>
      <c r="C27" s="20" t="s">
        <v>296</v>
      </c>
      <c r="D27" s="20">
        <v>2006</v>
      </c>
      <c r="E27" s="20" t="s">
        <v>143</v>
      </c>
      <c r="F27" s="20" t="s">
        <v>277</v>
      </c>
      <c r="G27" s="20" t="s">
        <v>278</v>
      </c>
      <c r="H27" s="20" t="s">
        <v>279</v>
      </c>
      <c r="I27" s="20" t="s">
        <v>280</v>
      </c>
      <c r="J27" s="24" t="s">
        <v>281</v>
      </c>
      <c r="K27" s="24">
        <v>80</v>
      </c>
      <c r="L27" s="24">
        <v>1825</v>
      </c>
      <c r="M27" s="24">
        <v>3650</v>
      </c>
      <c r="N27" s="24" t="s">
        <v>119</v>
      </c>
      <c r="O27" s="24" t="s">
        <v>34</v>
      </c>
      <c r="P27" s="20" t="s">
        <v>32</v>
      </c>
      <c r="Q27" s="20" t="s">
        <v>33</v>
      </c>
      <c r="R27" s="20" t="s">
        <v>119</v>
      </c>
      <c r="S27" s="20" t="s">
        <v>119</v>
      </c>
      <c r="T27" s="20" t="s">
        <v>119</v>
      </c>
      <c r="U27" s="20" t="s">
        <v>119</v>
      </c>
      <c r="V27" s="20" t="s">
        <v>119</v>
      </c>
      <c r="W27" s="20" t="s">
        <v>119</v>
      </c>
      <c r="X27" s="20">
        <v>33</v>
      </c>
      <c r="Y27" s="20" t="s">
        <v>34</v>
      </c>
      <c r="Z27" s="20">
        <v>33</v>
      </c>
      <c r="AA27" s="20" t="s">
        <v>34</v>
      </c>
      <c r="AB27" s="30" t="s">
        <v>119</v>
      </c>
      <c r="AC27" s="30" t="s">
        <v>119</v>
      </c>
      <c r="AD27" s="30" t="s">
        <v>119</v>
      </c>
      <c r="AE27" s="30" t="s">
        <v>119</v>
      </c>
      <c r="AF27" s="30" t="s">
        <v>119</v>
      </c>
      <c r="AG27" s="30">
        <v>1.8082191780821901E-2</v>
      </c>
      <c r="AH27" s="30">
        <v>1.8082191780821901E-2</v>
      </c>
      <c r="AI27" s="20" t="s">
        <v>119</v>
      </c>
      <c r="AJ27" s="20" t="s">
        <v>119</v>
      </c>
      <c r="AK27" s="20" t="s">
        <v>34</v>
      </c>
      <c r="AL27" s="20" t="s">
        <v>119</v>
      </c>
      <c r="AM27" s="20" t="s">
        <v>37</v>
      </c>
      <c r="AN27" s="20" t="s">
        <v>119</v>
      </c>
      <c r="AO27" s="20" t="s">
        <v>119</v>
      </c>
      <c r="AP27" s="20" t="s">
        <v>38</v>
      </c>
      <c r="AQ27" s="20" t="s">
        <v>119</v>
      </c>
      <c r="AR27" s="20" t="s">
        <v>119</v>
      </c>
      <c r="AS27" s="20">
        <v>3</v>
      </c>
      <c r="AT27" s="20" t="s">
        <v>58</v>
      </c>
      <c r="AU27" s="20" t="s">
        <v>286</v>
      </c>
      <c r="AV27" s="20" t="s">
        <v>119</v>
      </c>
      <c r="AW27" s="20" t="s">
        <v>119</v>
      </c>
      <c r="AX27" s="55">
        <v>1</v>
      </c>
      <c r="AY27" s="20" t="s">
        <v>119</v>
      </c>
      <c r="AZ27" s="20" t="s">
        <v>119</v>
      </c>
      <c r="BA27" s="20" t="s">
        <v>119</v>
      </c>
      <c r="BB27" s="20" t="s">
        <v>97</v>
      </c>
      <c r="BC27" s="20" t="s">
        <v>98</v>
      </c>
      <c r="BD27" s="19" t="s">
        <v>290</v>
      </c>
      <c r="BE27" s="20" t="s">
        <v>185</v>
      </c>
      <c r="BF27" s="19" t="s">
        <v>288</v>
      </c>
      <c r="BG27" s="20" t="s">
        <v>128</v>
      </c>
      <c r="BH27" s="20">
        <v>29</v>
      </c>
      <c r="BI27" s="20">
        <v>20</v>
      </c>
      <c r="BJ27" s="1">
        <f t="shared" si="5"/>
        <v>9</v>
      </c>
      <c r="BK27" s="1" t="s">
        <v>262</v>
      </c>
      <c r="BL27" s="7">
        <v>3.17489948305571</v>
      </c>
      <c r="BM27" s="6">
        <f t="shared" si="7"/>
        <v>2.18408960367606</v>
      </c>
      <c r="BN27" s="14">
        <v>9</v>
      </c>
      <c r="BO27" s="45">
        <v>0.72802986789201996</v>
      </c>
      <c r="BP27" s="5" t="s">
        <v>119</v>
      </c>
      <c r="BQ27" s="7">
        <v>2.5574382538770801</v>
      </c>
      <c r="BR27" s="1">
        <f t="shared" si="6"/>
        <v>1.7383210933247726</v>
      </c>
      <c r="BS27" s="1">
        <v>8</v>
      </c>
      <c r="BT27" s="45">
        <v>0.61458931648477999</v>
      </c>
      <c r="BU27" s="21" t="s">
        <v>119</v>
      </c>
      <c r="BV27" s="20">
        <v>1</v>
      </c>
      <c r="BW27" s="20" t="s">
        <v>362</v>
      </c>
      <c r="BX27" s="20" t="s">
        <v>363</v>
      </c>
      <c r="BY27" s="20" t="s">
        <v>119</v>
      </c>
      <c r="BZ27" s="24" t="s">
        <v>364</v>
      </c>
    </row>
    <row r="28" spans="1:78" ht="15" customHeight="1" x14ac:dyDescent="0.35">
      <c r="B28" s="20" t="s">
        <v>267</v>
      </c>
      <c r="C28" s="20" t="s">
        <v>296</v>
      </c>
      <c r="D28" s="20">
        <v>2006</v>
      </c>
      <c r="E28" s="20" t="s">
        <v>143</v>
      </c>
      <c r="F28" s="20" t="s">
        <v>277</v>
      </c>
      <c r="G28" s="20" t="s">
        <v>278</v>
      </c>
      <c r="H28" s="20" t="s">
        <v>279</v>
      </c>
      <c r="I28" s="20" t="s">
        <v>280</v>
      </c>
      <c r="J28" s="24" t="s">
        <v>281</v>
      </c>
      <c r="K28" s="24">
        <v>80</v>
      </c>
      <c r="L28" s="24">
        <v>1825</v>
      </c>
      <c r="M28" s="24">
        <v>3650</v>
      </c>
      <c r="N28" s="24" t="s">
        <v>119</v>
      </c>
      <c r="O28" s="24" t="s">
        <v>34</v>
      </c>
      <c r="P28" s="20" t="s">
        <v>32</v>
      </c>
      <c r="Q28" s="20" t="s">
        <v>33</v>
      </c>
      <c r="R28" s="20" t="s">
        <v>119</v>
      </c>
      <c r="S28" s="20" t="s">
        <v>119</v>
      </c>
      <c r="T28" s="20" t="s">
        <v>119</v>
      </c>
      <c r="U28" s="20" t="s">
        <v>119</v>
      </c>
      <c r="V28" s="20" t="s">
        <v>119</v>
      </c>
      <c r="W28" s="20" t="s">
        <v>119</v>
      </c>
      <c r="X28" s="20">
        <v>33</v>
      </c>
      <c r="Y28" s="20" t="s">
        <v>34</v>
      </c>
      <c r="Z28" s="20">
        <v>33</v>
      </c>
      <c r="AA28" s="20" t="s">
        <v>34</v>
      </c>
      <c r="AB28" s="30" t="s">
        <v>119</v>
      </c>
      <c r="AC28" s="30" t="s">
        <v>119</v>
      </c>
      <c r="AD28" s="30" t="s">
        <v>119</v>
      </c>
      <c r="AE28" s="30" t="s">
        <v>119</v>
      </c>
      <c r="AF28" s="30" t="s">
        <v>119</v>
      </c>
      <c r="AG28" s="30">
        <v>1.8082191780821901E-2</v>
      </c>
      <c r="AH28" s="30">
        <v>1.8082191780821901E-2</v>
      </c>
      <c r="AI28" s="20" t="s">
        <v>119</v>
      </c>
      <c r="AJ28" s="20" t="s">
        <v>119</v>
      </c>
      <c r="AK28" s="20" t="s">
        <v>34</v>
      </c>
      <c r="AL28" s="20" t="s">
        <v>119</v>
      </c>
      <c r="AM28" s="20" t="s">
        <v>37</v>
      </c>
      <c r="AN28" s="20" t="s">
        <v>119</v>
      </c>
      <c r="AO28" s="20" t="s">
        <v>119</v>
      </c>
      <c r="AP28" s="20" t="s">
        <v>38</v>
      </c>
      <c r="AQ28" s="20" t="s">
        <v>119</v>
      </c>
      <c r="AR28" s="20" t="s">
        <v>119</v>
      </c>
      <c r="AS28" s="20">
        <v>3</v>
      </c>
      <c r="AT28" s="20" t="s">
        <v>86</v>
      </c>
      <c r="AU28" s="20" t="s">
        <v>149</v>
      </c>
      <c r="AV28" s="20" t="s">
        <v>119</v>
      </c>
      <c r="AW28" s="20" t="s">
        <v>119</v>
      </c>
      <c r="AX28" s="55">
        <v>0</v>
      </c>
      <c r="AY28" s="20" t="s">
        <v>119</v>
      </c>
      <c r="AZ28" s="20" t="s">
        <v>119</v>
      </c>
      <c r="BA28" s="20" t="s">
        <v>119</v>
      </c>
      <c r="BB28" s="20" t="s">
        <v>170</v>
      </c>
      <c r="BC28" s="20" t="s">
        <v>171</v>
      </c>
      <c r="BD28" s="19" t="s">
        <v>287</v>
      </c>
      <c r="BE28" s="20" t="s">
        <v>185</v>
      </c>
      <c r="BF28" s="19" t="s">
        <v>288</v>
      </c>
      <c r="BG28" s="20" t="s">
        <v>56</v>
      </c>
      <c r="BH28" s="20">
        <v>29</v>
      </c>
      <c r="BI28" s="20">
        <v>20</v>
      </c>
      <c r="BJ28" s="1">
        <f t="shared" si="5"/>
        <v>9</v>
      </c>
      <c r="BK28" s="1" t="s">
        <v>262</v>
      </c>
      <c r="BL28" s="7">
        <v>117.09573612228399</v>
      </c>
      <c r="BM28" s="6">
        <f t="shared" si="7"/>
        <v>15.989541432000001</v>
      </c>
      <c r="BN28" s="14">
        <v>9</v>
      </c>
      <c r="BO28" s="6">
        <v>5.3298471440000004</v>
      </c>
      <c r="BP28" s="5" t="s">
        <v>119</v>
      </c>
      <c r="BQ28" s="5">
        <v>159.01045859999999</v>
      </c>
      <c r="BR28" s="1">
        <f t="shared" si="6"/>
        <v>40.048525660122344</v>
      </c>
      <c r="BS28" s="1">
        <v>8</v>
      </c>
      <c r="BT28" s="45">
        <v>14.159292035397982</v>
      </c>
      <c r="BU28" s="21" t="s">
        <v>119</v>
      </c>
      <c r="BV28" s="20">
        <v>1</v>
      </c>
      <c r="BW28" s="20" t="s">
        <v>362</v>
      </c>
      <c r="BX28" s="20" t="s">
        <v>363</v>
      </c>
      <c r="BY28" s="20" t="s">
        <v>119</v>
      </c>
      <c r="BZ28" s="24" t="s">
        <v>364</v>
      </c>
    </row>
    <row r="29" spans="1:78" ht="15" customHeight="1" x14ac:dyDescent="0.35">
      <c r="B29" s="20" t="s">
        <v>267</v>
      </c>
      <c r="C29" s="20" t="s">
        <v>296</v>
      </c>
      <c r="D29" s="20">
        <v>2006</v>
      </c>
      <c r="E29" s="20" t="s">
        <v>143</v>
      </c>
      <c r="F29" s="20" t="s">
        <v>277</v>
      </c>
      <c r="G29" s="20" t="s">
        <v>278</v>
      </c>
      <c r="H29" s="20" t="s">
        <v>279</v>
      </c>
      <c r="I29" s="20" t="s">
        <v>280</v>
      </c>
      <c r="J29" s="24" t="s">
        <v>281</v>
      </c>
      <c r="K29" s="24">
        <v>80</v>
      </c>
      <c r="L29" s="24">
        <v>1825</v>
      </c>
      <c r="M29" s="24">
        <v>3650</v>
      </c>
      <c r="N29" s="24" t="s">
        <v>119</v>
      </c>
      <c r="O29" s="24" t="s">
        <v>34</v>
      </c>
      <c r="P29" s="20" t="s">
        <v>32</v>
      </c>
      <c r="Q29" s="20" t="s">
        <v>33</v>
      </c>
      <c r="R29" s="20" t="s">
        <v>119</v>
      </c>
      <c r="S29" s="20" t="s">
        <v>119</v>
      </c>
      <c r="T29" s="20" t="s">
        <v>119</v>
      </c>
      <c r="U29" s="20" t="s">
        <v>119</v>
      </c>
      <c r="V29" s="20" t="s">
        <v>119</v>
      </c>
      <c r="W29" s="20" t="s">
        <v>119</v>
      </c>
      <c r="X29" s="20">
        <v>33</v>
      </c>
      <c r="Y29" s="20" t="s">
        <v>34</v>
      </c>
      <c r="Z29" s="20">
        <v>33</v>
      </c>
      <c r="AA29" s="20" t="s">
        <v>34</v>
      </c>
      <c r="AB29" s="30" t="s">
        <v>119</v>
      </c>
      <c r="AC29" s="30" t="s">
        <v>119</v>
      </c>
      <c r="AD29" s="30" t="s">
        <v>119</v>
      </c>
      <c r="AE29" s="30" t="s">
        <v>119</v>
      </c>
      <c r="AF29" s="30" t="s">
        <v>119</v>
      </c>
      <c r="AG29" s="30">
        <v>1.8082191780821901E-2</v>
      </c>
      <c r="AH29" s="30">
        <v>1.8082191780821901E-2</v>
      </c>
      <c r="AI29" s="20" t="s">
        <v>119</v>
      </c>
      <c r="AJ29" s="20" t="s">
        <v>119</v>
      </c>
      <c r="AK29" s="20" t="s">
        <v>34</v>
      </c>
      <c r="AL29" s="20" t="s">
        <v>119</v>
      </c>
      <c r="AM29" s="20" t="s">
        <v>37</v>
      </c>
      <c r="AN29" s="20" t="s">
        <v>119</v>
      </c>
      <c r="AO29" s="20" t="s">
        <v>119</v>
      </c>
      <c r="AP29" s="20" t="s">
        <v>38</v>
      </c>
      <c r="AQ29" s="20" t="s">
        <v>119</v>
      </c>
      <c r="AR29" s="20" t="s">
        <v>119</v>
      </c>
      <c r="AS29" s="20">
        <v>3</v>
      </c>
      <c r="AT29" s="20" t="s">
        <v>86</v>
      </c>
      <c r="AU29" s="20" t="s">
        <v>149</v>
      </c>
      <c r="AV29" s="20" t="s">
        <v>119</v>
      </c>
      <c r="AW29" s="20" t="s">
        <v>119</v>
      </c>
      <c r="AX29" s="55">
        <v>1</v>
      </c>
      <c r="AY29" s="20" t="s">
        <v>119</v>
      </c>
      <c r="AZ29" s="20" t="s">
        <v>119</v>
      </c>
      <c r="BA29" s="20" t="s">
        <v>119</v>
      </c>
      <c r="BB29" s="20" t="s">
        <v>97</v>
      </c>
      <c r="BC29" s="20" t="s">
        <v>139</v>
      </c>
      <c r="BD29" s="19" t="s">
        <v>289</v>
      </c>
      <c r="BE29" s="20" t="s">
        <v>185</v>
      </c>
      <c r="BF29" s="19" t="s">
        <v>288</v>
      </c>
      <c r="BG29" s="20" t="s">
        <v>84</v>
      </c>
      <c r="BH29" s="20">
        <v>29</v>
      </c>
      <c r="BI29" s="20">
        <v>20</v>
      </c>
      <c r="BJ29" s="1">
        <f t="shared" si="5"/>
        <v>9</v>
      </c>
      <c r="BK29" s="1" t="s">
        <v>262</v>
      </c>
      <c r="BL29" s="7">
        <v>8.0467562828754993</v>
      </c>
      <c r="BM29" s="6">
        <f t="shared" si="7"/>
        <v>2.4967855055523014</v>
      </c>
      <c r="BN29" s="14">
        <v>9</v>
      </c>
      <c r="BO29" s="45">
        <v>0.83226183518410046</v>
      </c>
      <c r="BP29" s="5" t="s">
        <v>119</v>
      </c>
      <c r="BQ29" s="7">
        <v>7.3547632963179401</v>
      </c>
      <c r="BR29" s="1">
        <f t="shared" si="6"/>
        <v>3.5309879249217713</v>
      </c>
      <c r="BS29" s="1">
        <v>8</v>
      </c>
      <c r="BT29" s="6">
        <v>1.2483927530000001</v>
      </c>
      <c r="BU29" s="21" t="s">
        <v>119</v>
      </c>
      <c r="BV29" s="20">
        <v>1</v>
      </c>
      <c r="BW29" s="20" t="s">
        <v>362</v>
      </c>
      <c r="BX29" s="20" t="s">
        <v>363</v>
      </c>
      <c r="BY29" s="20" t="s">
        <v>119</v>
      </c>
      <c r="BZ29" s="24" t="s">
        <v>364</v>
      </c>
    </row>
    <row r="30" spans="1:78" ht="15" customHeight="1" x14ac:dyDescent="0.35">
      <c r="B30" s="20" t="s">
        <v>267</v>
      </c>
      <c r="C30" s="20" t="s">
        <v>296</v>
      </c>
      <c r="D30" s="20">
        <v>2006</v>
      </c>
      <c r="E30" s="20" t="s">
        <v>143</v>
      </c>
      <c r="F30" s="20" t="s">
        <v>277</v>
      </c>
      <c r="G30" s="20" t="s">
        <v>278</v>
      </c>
      <c r="H30" s="20" t="s">
        <v>279</v>
      </c>
      <c r="I30" s="20" t="s">
        <v>280</v>
      </c>
      <c r="J30" s="24" t="s">
        <v>281</v>
      </c>
      <c r="K30" s="24">
        <v>80</v>
      </c>
      <c r="L30" s="24">
        <v>1825</v>
      </c>
      <c r="M30" s="24">
        <v>3650</v>
      </c>
      <c r="N30" s="24" t="s">
        <v>119</v>
      </c>
      <c r="O30" s="24" t="s">
        <v>34</v>
      </c>
      <c r="P30" s="20" t="s">
        <v>32</v>
      </c>
      <c r="Q30" s="20" t="s">
        <v>33</v>
      </c>
      <c r="R30" s="20" t="s">
        <v>119</v>
      </c>
      <c r="S30" s="20" t="s">
        <v>119</v>
      </c>
      <c r="T30" s="20" t="s">
        <v>119</v>
      </c>
      <c r="U30" s="20" t="s">
        <v>119</v>
      </c>
      <c r="V30" s="20" t="s">
        <v>119</v>
      </c>
      <c r="W30" s="20" t="s">
        <v>119</v>
      </c>
      <c r="X30" s="20">
        <v>33</v>
      </c>
      <c r="Y30" s="20" t="s">
        <v>34</v>
      </c>
      <c r="Z30" s="20">
        <v>33</v>
      </c>
      <c r="AA30" s="20" t="s">
        <v>34</v>
      </c>
      <c r="AB30" s="30" t="s">
        <v>119</v>
      </c>
      <c r="AC30" s="30" t="s">
        <v>119</v>
      </c>
      <c r="AD30" s="30" t="s">
        <v>119</v>
      </c>
      <c r="AE30" s="30" t="s">
        <v>119</v>
      </c>
      <c r="AF30" s="30" t="s">
        <v>119</v>
      </c>
      <c r="AG30" s="30">
        <v>1.8082191780821901E-2</v>
      </c>
      <c r="AH30" s="30">
        <v>1.8082191780821901E-2</v>
      </c>
      <c r="AI30" s="20" t="s">
        <v>119</v>
      </c>
      <c r="AJ30" s="20" t="s">
        <v>119</v>
      </c>
      <c r="AK30" s="20" t="s">
        <v>34</v>
      </c>
      <c r="AL30" s="20" t="s">
        <v>119</v>
      </c>
      <c r="AM30" s="20" t="s">
        <v>37</v>
      </c>
      <c r="AN30" s="20" t="s">
        <v>119</v>
      </c>
      <c r="AO30" s="20" t="s">
        <v>119</v>
      </c>
      <c r="AP30" s="20" t="s">
        <v>38</v>
      </c>
      <c r="AQ30" s="20" t="s">
        <v>119</v>
      </c>
      <c r="AR30" s="20" t="s">
        <v>119</v>
      </c>
      <c r="AS30" s="20">
        <v>3</v>
      </c>
      <c r="AT30" s="20" t="s">
        <v>86</v>
      </c>
      <c r="AU30" s="20" t="s">
        <v>149</v>
      </c>
      <c r="AV30" s="20" t="s">
        <v>119</v>
      </c>
      <c r="AW30" s="20" t="s">
        <v>119</v>
      </c>
      <c r="AX30" s="56">
        <v>1</v>
      </c>
      <c r="AY30" s="20" t="s">
        <v>119</v>
      </c>
      <c r="AZ30" s="20" t="s">
        <v>119</v>
      </c>
      <c r="BA30" s="20" t="s">
        <v>119</v>
      </c>
      <c r="BB30" s="20" t="s">
        <v>97</v>
      </c>
      <c r="BC30" s="20" t="s">
        <v>98</v>
      </c>
      <c r="BD30" s="19" t="s">
        <v>290</v>
      </c>
      <c r="BE30" s="20" t="s">
        <v>185</v>
      </c>
      <c r="BF30" s="19" t="s">
        <v>288</v>
      </c>
      <c r="BG30" s="20" t="s">
        <v>128</v>
      </c>
      <c r="BH30" s="20">
        <v>29</v>
      </c>
      <c r="BI30" s="20">
        <v>20</v>
      </c>
      <c r="BJ30" s="1">
        <f t="shared" si="5"/>
        <v>9</v>
      </c>
      <c r="BK30" s="1" t="s">
        <v>262</v>
      </c>
      <c r="BL30" s="5">
        <v>11.26681614</v>
      </c>
      <c r="BM30" s="6">
        <f>BO30*SQRT(BN30)</f>
        <v>2.1440582959641032</v>
      </c>
      <c r="BN30" s="14">
        <v>9</v>
      </c>
      <c r="BO30" s="45">
        <v>0.71468609865470101</v>
      </c>
      <c r="BP30" s="5" t="s">
        <v>119</v>
      </c>
      <c r="BQ30" s="7">
        <v>9.6776905829596505</v>
      </c>
      <c r="BR30" s="1">
        <f t="shared" si="6"/>
        <v>4.3877107143475174</v>
      </c>
      <c r="BS30" s="1">
        <v>8</v>
      </c>
      <c r="BT30" s="45">
        <v>1.5512900000000001</v>
      </c>
      <c r="BU30" s="21" t="s">
        <v>119</v>
      </c>
      <c r="BV30" s="20">
        <v>1</v>
      </c>
      <c r="BW30" s="20" t="s">
        <v>362</v>
      </c>
      <c r="BX30" s="20" t="s">
        <v>363</v>
      </c>
      <c r="BY30" s="20" t="s">
        <v>119</v>
      </c>
      <c r="BZ30" s="24" t="s">
        <v>364</v>
      </c>
    </row>
    <row r="31" spans="1:78" s="31" customFormat="1" ht="15" customHeight="1" x14ac:dyDescent="0.35">
      <c r="B31" s="31" t="s">
        <v>297</v>
      </c>
      <c r="C31" s="31" t="s">
        <v>306</v>
      </c>
      <c r="D31" s="31">
        <v>2008</v>
      </c>
      <c r="E31" s="31" t="s">
        <v>143</v>
      </c>
      <c r="F31" s="31" t="s">
        <v>277</v>
      </c>
      <c r="G31" s="31" t="s">
        <v>278</v>
      </c>
      <c r="H31" s="31" t="s">
        <v>279</v>
      </c>
      <c r="I31" s="31" t="s">
        <v>280</v>
      </c>
      <c r="J31" s="23" t="s">
        <v>281</v>
      </c>
      <c r="K31" s="23">
        <v>80</v>
      </c>
      <c r="L31" s="23">
        <v>1825</v>
      </c>
      <c r="M31" s="23">
        <v>3650</v>
      </c>
      <c r="N31" s="23" t="s">
        <v>119</v>
      </c>
      <c r="O31" s="23" t="s">
        <v>34</v>
      </c>
      <c r="P31" s="31" t="s">
        <v>32</v>
      </c>
      <c r="Q31" s="31" t="s">
        <v>33</v>
      </c>
      <c r="R31" s="31" t="s">
        <v>119</v>
      </c>
      <c r="S31" s="31" t="s">
        <v>119</v>
      </c>
      <c r="T31" s="31" t="s">
        <v>119</v>
      </c>
      <c r="U31" s="31" t="s">
        <v>119</v>
      </c>
      <c r="V31" s="31" t="s">
        <v>119</v>
      </c>
      <c r="W31" s="31" t="s">
        <v>119</v>
      </c>
      <c r="X31" s="31">
        <v>30</v>
      </c>
      <c r="Y31" s="31" t="s">
        <v>34</v>
      </c>
      <c r="Z31" s="31">
        <v>30</v>
      </c>
      <c r="AA31" s="31" t="s">
        <v>34</v>
      </c>
      <c r="AB31" s="32" t="s">
        <v>119</v>
      </c>
      <c r="AC31" s="32" t="s">
        <v>119</v>
      </c>
      <c r="AD31" s="32" t="s">
        <v>119</v>
      </c>
      <c r="AE31" s="32" t="s">
        <v>119</v>
      </c>
      <c r="AF31" s="32" t="s">
        <v>119</v>
      </c>
      <c r="AG31" s="32">
        <v>1.6438356164383501E-2</v>
      </c>
      <c r="AH31" s="32">
        <v>1.6438356164383501E-2</v>
      </c>
      <c r="AI31" s="31" t="s">
        <v>119</v>
      </c>
      <c r="AJ31" s="31">
        <v>0</v>
      </c>
      <c r="AK31" s="31" t="s">
        <v>34</v>
      </c>
      <c r="AL31" s="31">
        <v>0</v>
      </c>
      <c r="AM31" s="31" t="s">
        <v>37</v>
      </c>
      <c r="AN31" s="31" t="s">
        <v>119</v>
      </c>
      <c r="AO31" s="31" t="s">
        <v>119</v>
      </c>
      <c r="AP31" s="31" t="s">
        <v>38</v>
      </c>
      <c r="AQ31" s="31" t="s">
        <v>119</v>
      </c>
      <c r="AR31" s="31" t="s">
        <v>119</v>
      </c>
      <c r="AS31" s="31">
        <v>1</v>
      </c>
      <c r="AT31" s="31" t="s">
        <v>58</v>
      </c>
      <c r="AU31" s="31" t="s">
        <v>298</v>
      </c>
      <c r="AV31" s="31" t="s">
        <v>119</v>
      </c>
      <c r="AW31" s="31" t="s">
        <v>230</v>
      </c>
      <c r="AX31" s="55">
        <v>0</v>
      </c>
      <c r="AY31" s="31" t="s">
        <v>119</v>
      </c>
      <c r="AZ31" s="31" t="s">
        <v>119</v>
      </c>
      <c r="BA31" s="31" t="s">
        <v>119</v>
      </c>
      <c r="BB31" s="31" t="s">
        <v>170</v>
      </c>
      <c r="BC31" s="31" t="s">
        <v>171</v>
      </c>
      <c r="BD31" s="27" t="s">
        <v>299</v>
      </c>
      <c r="BE31" s="31" t="s">
        <v>300</v>
      </c>
      <c r="BF31" s="27" t="s">
        <v>301</v>
      </c>
      <c r="BG31" s="31" t="s">
        <v>56</v>
      </c>
      <c r="BH31" s="31">
        <v>29</v>
      </c>
      <c r="BI31" s="31">
        <v>20</v>
      </c>
      <c r="BJ31" s="36">
        <f t="shared" si="5"/>
        <v>9</v>
      </c>
      <c r="BK31" s="36" t="s">
        <v>262</v>
      </c>
      <c r="BL31" s="47">
        <v>193.11054522621799</v>
      </c>
      <c r="BM31" s="42">
        <f t="shared" ref="BM31:BM33" si="8">BO31*SQRT(BN31)</f>
        <v>58.695758067168704</v>
      </c>
      <c r="BN31" s="36">
        <v>8</v>
      </c>
      <c r="BO31" s="46">
        <v>20.752084278089995</v>
      </c>
      <c r="BP31" s="43" t="s">
        <v>119</v>
      </c>
      <c r="BQ31" s="47">
        <v>171.55788886175699</v>
      </c>
      <c r="BR31" s="36">
        <f t="shared" ref="BR31:BR33" si="9">BT31*SQRT(BS31)</f>
        <v>45.686788994791542</v>
      </c>
      <c r="BS31" s="44">
        <v>8</v>
      </c>
      <c r="BT31" s="46">
        <v>16.152719154428013</v>
      </c>
      <c r="BU31" s="22" t="s">
        <v>119</v>
      </c>
      <c r="BV31" s="31">
        <v>1</v>
      </c>
      <c r="BW31" s="31" t="s">
        <v>362</v>
      </c>
      <c r="BX31" s="31" t="s">
        <v>363</v>
      </c>
      <c r="BY31" s="31" t="s">
        <v>119</v>
      </c>
      <c r="BZ31" s="23" t="s">
        <v>364</v>
      </c>
    </row>
    <row r="32" spans="1:78" s="31" customFormat="1" ht="15" customHeight="1" x14ac:dyDescent="0.35">
      <c r="B32" s="31" t="s">
        <v>297</v>
      </c>
      <c r="C32" s="31" t="s">
        <v>306</v>
      </c>
      <c r="D32" s="31">
        <v>2008</v>
      </c>
      <c r="E32" s="31" t="s">
        <v>143</v>
      </c>
      <c r="F32" s="31" t="s">
        <v>277</v>
      </c>
      <c r="G32" s="31" t="s">
        <v>278</v>
      </c>
      <c r="H32" s="31" t="s">
        <v>279</v>
      </c>
      <c r="I32" s="31" t="s">
        <v>280</v>
      </c>
      <c r="J32" s="23" t="s">
        <v>281</v>
      </c>
      <c r="K32" s="23">
        <v>80</v>
      </c>
      <c r="L32" s="23">
        <v>1825</v>
      </c>
      <c r="M32" s="23">
        <v>3650</v>
      </c>
      <c r="N32" s="23" t="s">
        <v>119</v>
      </c>
      <c r="O32" s="23" t="s">
        <v>34</v>
      </c>
      <c r="P32" s="31" t="s">
        <v>32</v>
      </c>
      <c r="Q32" s="31" t="s">
        <v>33</v>
      </c>
      <c r="R32" s="31" t="s">
        <v>119</v>
      </c>
      <c r="S32" s="31" t="s">
        <v>119</v>
      </c>
      <c r="T32" s="31" t="s">
        <v>119</v>
      </c>
      <c r="U32" s="31" t="s">
        <v>119</v>
      </c>
      <c r="V32" s="31" t="s">
        <v>119</v>
      </c>
      <c r="W32" s="31" t="s">
        <v>119</v>
      </c>
      <c r="X32" s="31">
        <v>30</v>
      </c>
      <c r="Y32" s="31" t="s">
        <v>34</v>
      </c>
      <c r="Z32" s="31">
        <v>30</v>
      </c>
      <c r="AA32" s="31" t="s">
        <v>34</v>
      </c>
      <c r="AB32" s="32" t="s">
        <v>119</v>
      </c>
      <c r="AC32" s="32" t="s">
        <v>119</v>
      </c>
      <c r="AD32" s="32" t="s">
        <v>119</v>
      </c>
      <c r="AE32" s="32" t="s">
        <v>119</v>
      </c>
      <c r="AF32" s="32" t="s">
        <v>119</v>
      </c>
      <c r="AG32" s="32">
        <v>1.6438356164383501E-2</v>
      </c>
      <c r="AH32" s="32">
        <v>1.6438356164383501E-2</v>
      </c>
      <c r="AI32" s="31" t="s">
        <v>119</v>
      </c>
      <c r="AJ32" s="31">
        <v>0</v>
      </c>
      <c r="AK32" s="31" t="s">
        <v>34</v>
      </c>
      <c r="AL32" s="31">
        <v>0</v>
      </c>
      <c r="AM32" s="31" t="s">
        <v>37</v>
      </c>
      <c r="AN32" s="31" t="s">
        <v>119</v>
      </c>
      <c r="AO32" s="31" t="s">
        <v>119</v>
      </c>
      <c r="AP32" s="31" t="s">
        <v>38</v>
      </c>
      <c r="AQ32" s="31" t="s">
        <v>119</v>
      </c>
      <c r="AR32" s="31" t="s">
        <v>119</v>
      </c>
      <c r="AS32" s="31">
        <v>1</v>
      </c>
      <c r="AT32" s="31" t="s">
        <v>58</v>
      </c>
      <c r="AU32" s="31" t="s">
        <v>298</v>
      </c>
      <c r="AV32" s="31" t="s">
        <v>119</v>
      </c>
      <c r="AW32" s="31" t="s">
        <v>229</v>
      </c>
      <c r="AX32" s="55">
        <v>1</v>
      </c>
      <c r="AY32" s="31" t="s">
        <v>119</v>
      </c>
      <c r="AZ32" s="31" t="s">
        <v>119</v>
      </c>
      <c r="BA32" s="31" t="s">
        <v>119</v>
      </c>
      <c r="BB32" s="31" t="s">
        <v>97</v>
      </c>
      <c r="BC32" s="31" t="s">
        <v>139</v>
      </c>
      <c r="BD32" s="27" t="s">
        <v>302</v>
      </c>
      <c r="BE32" s="31" t="s">
        <v>300</v>
      </c>
      <c r="BF32" s="27" t="s">
        <v>301</v>
      </c>
      <c r="BG32" s="31" t="s">
        <v>56</v>
      </c>
      <c r="BH32" s="31">
        <v>29</v>
      </c>
      <c r="BI32" s="31">
        <v>20</v>
      </c>
      <c r="BJ32" s="36">
        <f t="shared" si="5"/>
        <v>9</v>
      </c>
      <c r="BK32" s="36" t="s">
        <v>262</v>
      </c>
      <c r="BL32" s="47">
        <v>1.5485940485940399</v>
      </c>
      <c r="BM32" s="42">
        <f t="shared" si="8"/>
        <v>0.62853936042616954</v>
      </c>
      <c r="BN32" s="36">
        <v>8</v>
      </c>
      <c r="BO32" s="36">
        <v>0.222222222</v>
      </c>
      <c r="BP32" s="43" t="s">
        <v>119</v>
      </c>
      <c r="BQ32" s="43">
        <v>1.582719083</v>
      </c>
      <c r="BR32" s="36">
        <f>BT32*SQRT(BS32)</f>
        <v>0.62853936105470232</v>
      </c>
      <c r="BS32" s="44">
        <v>8</v>
      </c>
      <c r="BT32" s="42">
        <v>0.22222222222221988</v>
      </c>
      <c r="BU32" s="22" t="s">
        <v>119</v>
      </c>
      <c r="BV32" s="31">
        <v>1</v>
      </c>
      <c r="BW32" s="31" t="s">
        <v>362</v>
      </c>
      <c r="BX32" s="31" t="s">
        <v>363</v>
      </c>
      <c r="BY32" s="31" t="s">
        <v>119</v>
      </c>
      <c r="BZ32" s="23" t="s">
        <v>364</v>
      </c>
    </row>
    <row r="33" spans="2:78" s="31" customFormat="1" ht="15" customHeight="1" x14ac:dyDescent="0.35">
      <c r="B33" s="31" t="s">
        <v>297</v>
      </c>
      <c r="C33" s="31" t="s">
        <v>306</v>
      </c>
      <c r="D33" s="31">
        <v>2008</v>
      </c>
      <c r="E33" s="31" t="s">
        <v>143</v>
      </c>
      <c r="F33" s="31" t="s">
        <v>277</v>
      </c>
      <c r="G33" s="31" t="s">
        <v>278</v>
      </c>
      <c r="H33" s="31" t="s">
        <v>279</v>
      </c>
      <c r="I33" s="31" t="s">
        <v>280</v>
      </c>
      <c r="J33" s="23" t="s">
        <v>281</v>
      </c>
      <c r="K33" s="23">
        <v>80</v>
      </c>
      <c r="L33" s="23">
        <v>1825</v>
      </c>
      <c r="M33" s="23">
        <v>3650</v>
      </c>
      <c r="N33" s="23" t="s">
        <v>119</v>
      </c>
      <c r="O33" s="23" t="s">
        <v>34</v>
      </c>
      <c r="P33" s="31" t="s">
        <v>32</v>
      </c>
      <c r="Q33" s="31" t="s">
        <v>33</v>
      </c>
      <c r="R33" s="31" t="s">
        <v>119</v>
      </c>
      <c r="S33" s="31" t="s">
        <v>119</v>
      </c>
      <c r="T33" s="31" t="s">
        <v>119</v>
      </c>
      <c r="U33" s="31" t="s">
        <v>119</v>
      </c>
      <c r="V33" s="31" t="s">
        <v>119</v>
      </c>
      <c r="W33" s="31" t="s">
        <v>119</v>
      </c>
      <c r="X33" s="31">
        <v>30</v>
      </c>
      <c r="Y33" s="31" t="s">
        <v>34</v>
      </c>
      <c r="Z33" s="31">
        <v>30</v>
      </c>
      <c r="AA33" s="31" t="s">
        <v>34</v>
      </c>
      <c r="AB33" s="32" t="s">
        <v>119</v>
      </c>
      <c r="AC33" s="32" t="s">
        <v>119</v>
      </c>
      <c r="AD33" s="32" t="s">
        <v>119</v>
      </c>
      <c r="AE33" s="32" t="s">
        <v>119</v>
      </c>
      <c r="AF33" s="32" t="s">
        <v>119</v>
      </c>
      <c r="AG33" s="32">
        <v>1.6438356164383501E-2</v>
      </c>
      <c r="AH33" s="32">
        <v>1.6438356164383501E-2</v>
      </c>
      <c r="AI33" s="31" t="s">
        <v>119</v>
      </c>
      <c r="AJ33" s="31">
        <v>0</v>
      </c>
      <c r="AK33" s="31" t="s">
        <v>34</v>
      </c>
      <c r="AL33" s="31">
        <v>0</v>
      </c>
      <c r="AM33" s="31" t="s">
        <v>37</v>
      </c>
      <c r="AN33" s="31" t="s">
        <v>119</v>
      </c>
      <c r="AO33" s="31" t="s">
        <v>119</v>
      </c>
      <c r="AP33" s="31" t="s">
        <v>38</v>
      </c>
      <c r="AQ33" s="31" t="s">
        <v>119</v>
      </c>
      <c r="AR33" s="31" t="s">
        <v>119</v>
      </c>
      <c r="AS33" s="31">
        <v>1</v>
      </c>
      <c r="AT33" s="31" t="s">
        <v>58</v>
      </c>
      <c r="AU33" s="31" t="s">
        <v>298</v>
      </c>
      <c r="AV33" s="31" t="s">
        <v>119</v>
      </c>
      <c r="AW33" s="31" t="s">
        <v>230</v>
      </c>
      <c r="AX33" s="55">
        <v>1</v>
      </c>
      <c r="AY33" s="31" t="s">
        <v>119</v>
      </c>
      <c r="AZ33" s="31" t="s">
        <v>119</v>
      </c>
      <c r="BA33" s="31" t="s">
        <v>119</v>
      </c>
      <c r="BB33" s="31" t="s">
        <v>97</v>
      </c>
      <c r="BC33" s="31" t="s">
        <v>136</v>
      </c>
      <c r="BD33" s="27" t="s">
        <v>303</v>
      </c>
      <c r="BE33" s="31" t="s">
        <v>304</v>
      </c>
      <c r="BF33" s="27" t="s">
        <v>305</v>
      </c>
      <c r="BG33" s="31" t="s">
        <v>56</v>
      </c>
      <c r="BH33" s="31">
        <v>29</v>
      </c>
      <c r="BI33" s="31">
        <v>20</v>
      </c>
      <c r="BJ33" s="36">
        <f t="shared" si="5"/>
        <v>9</v>
      </c>
      <c r="BK33" s="36" t="s">
        <v>262</v>
      </c>
      <c r="BL33" s="43">
        <v>0.25099972399999998</v>
      </c>
      <c r="BM33" s="42">
        <f t="shared" si="8"/>
        <v>0.15567659774440901</v>
      </c>
      <c r="BN33" s="36">
        <v>8</v>
      </c>
      <c r="BO33" s="46">
        <v>5.5039988968560993E-2</v>
      </c>
      <c r="BP33" s="43" t="s">
        <v>119</v>
      </c>
      <c r="BQ33" s="47">
        <v>0.30002068394925402</v>
      </c>
      <c r="BR33" s="36">
        <f t="shared" si="9"/>
        <v>0.22061497560847859</v>
      </c>
      <c r="BS33" s="44">
        <v>8</v>
      </c>
      <c r="BT33" s="46">
        <v>7.799917264202999E-2</v>
      </c>
      <c r="BU33" s="22" t="s">
        <v>119</v>
      </c>
      <c r="BV33" s="31">
        <v>1</v>
      </c>
      <c r="BW33" s="31" t="s">
        <v>362</v>
      </c>
      <c r="BX33" s="31" t="s">
        <v>363</v>
      </c>
      <c r="BY33" s="31" t="s">
        <v>119</v>
      </c>
      <c r="BZ33" s="23" t="s">
        <v>364</v>
      </c>
    </row>
    <row r="34" spans="2:78" ht="15" customHeight="1" x14ac:dyDescent="0.35">
      <c r="B34" s="20" t="s">
        <v>324</v>
      </c>
      <c r="C34" s="20" t="s">
        <v>370</v>
      </c>
      <c r="D34" s="20">
        <v>2011</v>
      </c>
      <c r="E34" s="20" t="s">
        <v>143</v>
      </c>
      <c r="F34" s="20" t="s">
        <v>152</v>
      </c>
      <c r="G34" s="20" t="s">
        <v>153</v>
      </c>
      <c r="H34" s="20" t="s">
        <v>150</v>
      </c>
      <c r="I34" s="20" t="s">
        <v>307</v>
      </c>
      <c r="J34" s="24" t="s">
        <v>151</v>
      </c>
      <c r="K34" s="24">
        <v>70</v>
      </c>
      <c r="L34" s="24">
        <v>2555</v>
      </c>
      <c r="M34" s="24">
        <v>5110</v>
      </c>
      <c r="N34" s="24" t="s">
        <v>119</v>
      </c>
      <c r="O34" s="24" t="s">
        <v>34</v>
      </c>
      <c r="P34" s="20" t="s">
        <v>32</v>
      </c>
      <c r="Q34" s="20" t="s">
        <v>33</v>
      </c>
      <c r="R34" s="20" t="s">
        <v>119</v>
      </c>
      <c r="S34" s="20" t="s">
        <v>119</v>
      </c>
      <c r="T34" s="20" t="s">
        <v>119</v>
      </c>
      <c r="U34" s="20" t="s">
        <v>119</v>
      </c>
      <c r="V34" s="20" t="s">
        <v>119</v>
      </c>
      <c r="W34" s="20" t="s">
        <v>119</v>
      </c>
      <c r="X34" s="20">
        <v>74</v>
      </c>
      <c r="Y34" s="20" t="s">
        <v>34</v>
      </c>
      <c r="Z34" s="20">
        <v>74</v>
      </c>
      <c r="AA34" s="20" t="s">
        <v>34</v>
      </c>
      <c r="AB34" s="30" t="s">
        <v>119</v>
      </c>
      <c r="AC34" s="30" t="s">
        <v>119</v>
      </c>
      <c r="AD34" s="30" t="s">
        <v>119</v>
      </c>
      <c r="AE34" s="30" t="s">
        <v>119</v>
      </c>
      <c r="AF34" s="30" t="s">
        <v>119</v>
      </c>
      <c r="AG34" s="30">
        <v>2.8962818003913801E-2</v>
      </c>
      <c r="AH34" s="30">
        <v>2.8962818003913801E-2</v>
      </c>
      <c r="AI34" s="20" t="s">
        <v>119</v>
      </c>
      <c r="AJ34" s="20">
        <v>0</v>
      </c>
      <c r="AK34" s="20" t="s">
        <v>34</v>
      </c>
      <c r="AL34" s="20">
        <v>0</v>
      </c>
      <c r="AM34" s="20" t="s">
        <v>37</v>
      </c>
      <c r="AN34" s="20" t="s">
        <v>119</v>
      </c>
      <c r="AO34" s="20" t="s">
        <v>119</v>
      </c>
      <c r="AP34" s="20" t="s">
        <v>38</v>
      </c>
      <c r="AQ34" s="20" t="s">
        <v>119</v>
      </c>
      <c r="AR34" s="20" t="s">
        <v>119</v>
      </c>
      <c r="AS34" s="20">
        <v>4</v>
      </c>
      <c r="AT34" s="20" t="s">
        <v>58</v>
      </c>
      <c r="AU34" s="20" t="s">
        <v>58</v>
      </c>
      <c r="AV34" s="20" t="s">
        <v>157</v>
      </c>
      <c r="AW34" s="20" t="s">
        <v>229</v>
      </c>
      <c r="AX34" s="55">
        <v>1</v>
      </c>
      <c r="AY34" s="20" t="s">
        <v>163</v>
      </c>
      <c r="AZ34" s="20" t="s">
        <v>119</v>
      </c>
      <c r="BA34" s="20" t="s">
        <v>119</v>
      </c>
      <c r="BB34" s="20" t="s">
        <v>161</v>
      </c>
      <c r="BC34" s="20" t="s">
        <v>59</v>
      </c>
      <c r="BD34" s="19" t="s">
        <v>308</v>
      </c>
      <c r="BE34" s="20" t="s">
        <v>309</v>
      </c>
      <c r="BF34" s="19" t="s">
        <v>310</v>
      </c>
      <c r="BG34" s="20" t="s">
        <v>83</v>
      </c>
      <c r="BH34" s="20">
        <v>29</v>
      </c>
      <c r="BI34" s="20">
        <v>20</v>
      </c>
      <c r="BJ34" s="1">
        <v>-9</v>
      </c>
      <c r="BK34" s="1" t="s">
        <v>262</v>
      </c>
      <c r="BL34" s="7">
        <v>70.011724665765598</v>
      </c>
      <c r="BM34" s="45">
        <v>6.6830594863944981</v>
      </c>
      <c r="BN34" s="1">
        <v>9</v>
      </c>
      <c r="BO34" s="45">
        <f>BM34/SQRT(BN34)</f>
        <v>2.2276864954648326</v>
      </c>
      <c r="BP34" s="5" t="s">
        <v>119</v>
      </c>
      <c r="BQ34" s="7">
        <v>41.496360468335197</v>
      </c>
      <c r="BR34" s="45">
        <v>4.7020794997476045</v>
      </c>
      <c r="BS34" s="14">
        <v>8</v>
      </c>
      <c r="BT34" s="45">
        <f>BR34/SQRT(BS34)</f>
        <v>1.6624361499748901</v>
      </c>
      <c r="BU34" s="21" t="s">
        <v>119</v>
      </c>
      <c r="BV34" s="20">
        <v>1</v>
      </c>
      <c r="BW34" s="20" t="s">
        <v>362</v>
      </c>
      <c r="BX34" s="20" t="s">
        <v>363</v>
      </c>
      <c r="BY34" s="20" t="s">
        <v>119</v>
      </c>
      <c r="BZ34" s="24" t="s">
        <v>364</v>
      </c>
    </row>
    <row r="35" spans="2:78" ht="15" customHeight="1" x14ac:dyDescent="0.35">
      <c r="B35" s="20" t="s">
        <v>324</v>
      </c>
      <c r="C35" s="20" t="s">
        <v>370</v>
      </c>
      <c r="D35" s="20">
        <v>2011</v>
      </c>
      <c r="E35" s="20" t="s">
        <v>143</v>
      </c>
      <c r="F35" s="20" t="s">
        <v>152</v>
      </c>
      <c r="G35" s="20" t="s">
        <v>153</v>
      </c>
      <c r="H35" s="20" t="s">
        <v>150</v>
      </c>
      <c r="I35" s="20" t="s">
        <v>307</v>
      </c>
      <c r="J35" s="24" t="s">
        <v>151</v>
      </c>
      <c r="K35" s="24">
        <v>70</v>
      </c>
      <c r="L35" s="24">
        <v>2555</v>
      </c>
      <c r="M35" s="24">
        <v>5110</v>
      </c>
      <c r="N35" s="24" t="s">
        <v>119</v>
      </c>
      <c r="O35" s="24" t="s">
        <v>34</v>
      </c>
      <c r="P35" s="20" t="s">
        <v>32</v>
      </c>
      <c r="Q35" s="20" t="s">
        <v>33</v>
      </c>
      <c r="R35" s="20" t="s">
        <v>119</v>
      </c>
      <c r="S35" s="20" t="s">
        <v>119</v>
      </c>
      <c r="T35" s="20" t="s">
        <v>119</v>
      </c>
      <c r="U35" s="20" t="s">
        <v>119</v>
      </c>
      <c r="V35" s="20" t="s">
        <v>119</v>
      </c>
      <c r="W35" s="20" t="s">
        <v>119</v>
      </c>
      <c r="X35" s="20">
        <v>74</v>
      </c>
      <c r="Y35" s="20" t="s">
        <v>34</v>
      </c>
      <c r="Z35" s="20">
        <v>74</v>
      </c>
      <c r="AA35" s="20" t="s">
        <v>34</v>
      </c>
      <c r="AB35" s="30" t="s">
        <v>119</v>
      </c>
      <c r="AC35" s="30" t="s">
        <v>119</v>
      </c>
      <c r="AD35" s="30" t="s">
        <v>119</v>
      </c>
      <c r="AE35" s="30" t="s">
        <v>119</v>
      </c>
      <c r="AF35" s="30" t="s">
        <v>119</v>
      </c>
      <c r="AG35" s="30">
        <v>2.8962818003913801E-2</v>
      </c>
      <c r="AH35" s="30">
        <v>2.8962818003913801E-2</v>
      </c>
      <c r="AI35" s="20" t="s">
        <v>119</v>
      </c>
      <c r="AJ35" s="20">
        <v>0</v>
      </c>
      <c r="AK35" s="20" t="s">
        <v>34</v>
      </c>
      <c r="AL35" s="20">
        <v>0</v>
      </c>
      <c r="AM35" s="20" t="s">
        <v>37</v>
      </c>
      <c r="AN35" s="20" t="s">
        <v>119</v>
      </c>
      <c r="AO35" s="20" t="s">
        <v>119</v>
      </c>
      <c r="AP35" s="20" t="s">
        <v>38</v>
      </c>
      <c r="AQ35" s="20" t="s">
        <v>119</v>
      </c>
      <c r="AR35" s="20" t="s">
        <v>119</v>
      </c>
      <c r="AS35" s="20">
        <v>4</v>
      </c>
      <c r="AT35" s="20" t="s">
        <v>58</v>
      </c>
      <c r="AU35" s="20" t="s">
        <v>58</v>
      </c>
      <c r="AV35" s="20" t="s">
        <v>157</v>
      </c>
      <c r="AW35" s="20" t="s">
        <v>229</v>
      </c>
      <c r="AX35" s="55">
        <v>0</v>
      </c>
      <c r="AY35" s="20" t="s">
        <v>61</v>
      </c>
      <c r="AZ35" s="20" t="s">
        <v>119</v>
      </c>
      <c r="BA35" s="20" t="s">
        <v>119</v>
      </c>
      <c r="BB35" s="20" t="s">
        <v>161</v>
      </c>
      <c r="BC35" s="20" t="s">
        <v>36</v>
      </c>
      <c r="BD35" s="19" t="s">
        <v>311</v>
      </c>
      <c r="BE35" s="20" t="s">
        <v>309</v>
      </c>
      <c r="BF35" s="19" t="s">
        <v>312</v>
      </c>
      <c r="BG35" s="20" t="s">
        <v>83</v>
      </c>
      <c r="BH35" s="20">
        <v>29</v>
      </c>
      <c r="BI35" s="20">
        <v>20</v>
      </c>
      <c r="BJ35" s="1">
        <v>-9</v>
      </c>
      <c r="BK35" s="1" t="s">
        <v>262</v>
      </c>
      <c r="BL35" s="7">
        <v>27.438160530215399</v>
      </c>
      <c r="BM35" s="45">
        <v>4.7020794997476045</v>
      </c>
      <c r="BN35" s="1">
        <v>9</v>
      </c>
      <c r="BO35" s="45">
        <f t="shared" ref="BO35:BO55" si="10">BM35/SQRT(BN35)</f>
        <v>1.5673598332492016</v>
      </c>
      <c r="BP35" s="5" t="s">
        <v>119</v>
      </c>
      <c r="BQ35" s="7">
        <v>12.2905437313748</v>
      </c>
      <c r="BR35" s="45">
        <v>2.7227279389014996</v>
      </c>
      <c r="BS35" s="14">
        <v>8</v>
      </c>
      <c r="BT35" s="45">
        <f t="shared" ref="BT35:BT55" si="11">BR35/SQRT(BS35)</f>
        <v>0.96262969446166102</v>
      </c>
      <c r="BU35" s="21" t="s">
        <v>119</v>
      </c>
      <c r="BV35" s="20">
        <v>1</v>
      </c>
      <c r="BW35" s="20" t="s">
        <v>362</v>
      </c>
      <c r="BX35" s="20" t="s">
        <v>363</v>
      </c>
      <c r="BY35" s="20" t="s">
        <v>119</v>
      </c>
      <c r="BZ35" s="24" t="s">
        <v>364</v>
      </c>
    </row>
    <row r="36" spans="2:78" ht="15" customHeight="1" x14ac:dyDescent="0.35">
      <c r="B36" s="20" t="s">
        <v>324</v>
      </c>
      <c r="C36" s="20" t="s">
        <v>370</v>
      </c>
      <c r="D36" s="20">
        <v>2011</v>
      </c>
      <c r="E36" s="20" t="s">
        <v>143</v>
      </c>
      <c r="F36" s="20" t="s">
        <v>152</v>
      </c>
      <c r="G36" s="20" t="s">
        <v>153</v>
      </c>
      <c r="H36" s="20" t="s">
        <v>150</v>
      </c>
      <c r="I36" s="20" t="s">
        <v>307</v>
      </c>
      <c r="J36" s="24" t="s">
        <v>151</v>
      </c>
      <c r="K36" s="24">
        <v>70</v>
      </c>
      <c r="L36" s="24">
        <v>2555</v>
      </c>
      <c r="M36" s="24">
        <v>5110</v>
      </c>
      <c r="N36" s="24" t="s">
        <v>119</v>
      </c>
      <c r="O36" s="24" t="s">
        <v>34</v>
      </c>
      <c r="P36" s="20" t="s">
        <v>32</v>
      </c>
      <c r="Q36" s="20" t="s">
        <v>33</v>
      </c>
      <c r="R36" s="20" t="s">
        <v>119</v>
      </c>
      <c r="S36" s="20" t="s">
        <v>119</v>
      </c>
      <c r="T36" s="20" t="s">
        <v>119</v>
      </c>
      <c r="U36" s="20" t="s">
        <v>119</v>
      </c>
      <c r="V36" s="20" t="s">
        <v>119</v>
      </c>
      <c r="W36" s="20" t="s">
        <v>119</v>
      </c>
      <c r="X36" s="20">
        <v>74</v>
      </c>
      <c r="Y36" s="20" t="s">
        <v>34</v>
      </c>
      <c r="Z36" s="20">
        <v>74</v>
      </c>
      <c r="AA36" s="20" t="s">
        <v>34</v>
      </c>
      <c r="AB36" s="30" t="s">
        <v>119</v>
      </c>
      <c r="AC36" s="30" t="s">
        <v>119</v>
      </c>
      <c r="AD36" s="30" t="s">
        <v>119</v>
      </c>
      <c r="AE36" s="30" t="s">
        <v>119</v>
      </c>
      <c r="AF36" s="30" t="s">
        <v>119</v>
      </c>
      <c r="AG36" s="30">
        <v>2.8962818003913801E-2</v>
      </c>
      <c r="AH36" s="30">
        <v>2.8962818003913801E-2</v>
      </c>
      <c r="AI36" s="20" t="s">
        <v>119</v>
      </c>
      <c r="AJ36" s="20">
        <v>0</v>
      </c>
      <c r="AK36" s="20" t="s">
        <v>34</v>
      </c>
      <c r="AL36" s="20">
        <v>0</v>
      </c>
      <c r="AM36" s="20" t="s">
        <v>37</v>
      </c>
      <c r="AN36" s="20" t="s">
        <v>119</v>
      </c>
      <c r="AO36" s="20" t="s">
        <v>119</v>
      </c>
      <c r="AP36" s="20" t="s">
        <v>38</v>
      </c>
      <c r="AQ36" s="20" t="s">
        <v>119</v>
      </c>
      <c r="AR36" s="20" t="s">
        <v>119</v>
      </c>
      <c r="AS36" s="20">
        <v>4</v>
      </c>
      <c r="AT36" s="20" t="s">
        <v>58</v>
      </c>
      <c r="AU36" s="20" t="s">
        <v>58</v>
      </c>
      <c r="AV36" s="20" t="s">
        <v>157</v>
      </c>
      <c r="AW36" s="20" t="s">
        <v>229</v>
      </c>
      <c r="AX36" s="55">
        <v>1</v>
      </c>
      <c r="AY36" s="20" t="s">
        <v>163</v>
      </c>
      <c r="AZ36" s="20" t="s">
        <v>119</v>
      </c>
      <c r="BA36" s="20" t="s">
        <v>119</v>
      </c>
      <c r="BB36" s="20" t="s">
        <v>161</v>
      </c>
      <c r="BC36" s="20" t="s">
        <v>313</v>
      </c>
      <c r="BD36" s="19" t="s">
        <v>314</v>
      </c>
      <c r="BE36" s="20" t="s">
        <v>309</v>
      </c>
      <c r="BF36" s="19" t="s">
        <v>315</v>
      </c>
      <c r="BG36" s="20" t="s">
        <v>35</v>
      </c>
      <c r="BH36" s="20">
        <v>29</v>
      </c>
      <c r="BI36" s="20">
        <v>20</v>
      </c>
      <c r="BJ36" s="1">
        <v>-9</v>
      </c>
      <c r="BK36" s="1" t="s">
        <v>262</v>
      </c>
      <c r="BL36" s="5">
        <v>37.5</v>
      </c>
      <c r="BM36" s="1">
        <v>19</v>
      </c>
      <c r="BN36" s="1">
        <v>9</v>
      </c>
      <c r="BO36" s="45">
        <f t="shared" si="10"/>
        <v>6.333333333333333</v>
      </c>
      <c r="BP36" s="5" t="s">
        <v>119</v>
      </c>
      <c r="BQ36" s="5">
        <v>32.200000000000003</v>
      </c>
      <c r="BR36" s="6">
        <v>15.9</v>
      </c>
      <c r="BS36" s="14">
        <v>8</v>
      </c>
      <c r="BT36" s="45">
        <f t="shared" si="11"/>
        <v>5.6214989104330524</v>
      </c>
      <c r="BU36" s="21" t="s">
        <v>119</v>
      </c>
      <c r="BV36" s="20">
        <v>1</v>
      </c>
      <c r="BW36" s="20" t="s">
        <v>362</v>
      </c>
      <c r="BX36" s="20" t="s">
        <v>363</v>
      </c>
      <c r="BY36" s="20" t="s">
        <v>119</v>
      </c>
      <c r="BZ36" s="24" t="s">
        <v>364</v>
      </c>
    </row>
    <row r="37" spans="2:78" ht="15" customHeight="1" x14ac:dyDescent="0.35">
      <c r="B37" s="20" t="s">
        <v>324</v>
      </c>
      <c r="C37" s="20" t="s">
        <v>370</v>
      </c>
      <c r="D37" s="20">
        <v>2011</v>
      </c>
      <c r="E37" s="20" t="s">
        <v>143</v>
      </c>
      <c r="F37" s="20" t="s">
        <v>152</v>
      </c>
      <c r="G37" s="20" t="s">
        <v>153</v>
      </c>
      <c r="H37" s="20" t="s">
        <v>150</v>
      </c>
      <c r="I37" s="20" t="s">
        <v>307</v>
      </c>
      <c r="J37" s="24" t="s">
        <v>151</v>
      </c>
      <c r="K37" s="24">
        <v>70</v>
      </c>
      <c r="L37" s="24">
        <v>2555</v>
      </c>
      <c r="M37" s="24">
        <v>5110</v>
      </c>
      <c r="N37" s="24" t="s">
        <v>119</v>
      </c>
      <c r="O37" s="24" t="s">
        <v>34</v>
      </c>
      <c r="P37" s="20" t="s">
        <v>32</v>
      </c>
      <c r="Q37" s="20" t="s">
        <v>33</v>
      </c>
      <c r="R37" s="20" t="s">
        <v>119</v>
      </c>
      <c r="S37" s="20" t="s">
        <v>119</v>
      </c>
      <c r="T37" s="20" t="s">
        <v>119</v>
      </c>
      <c r="U37" s="20" t="s">
        <v>119</v>
      </c>
      <c r="V37" s="20" t="s">
        <v>119</v>
      </c>
      <c r="W37" s="20" t="s">
        <v>119</v>
      </c>
      <c r="X37" s="20">
        <v>74</v>
      </c>
      <c r="Y37" s="20" t="s">
        <v>34</v>
      </c>
      <c r="Z37" s="20">
        <v>74</v>
      </c>
      <c r="AA37" s="20" t="s">
        <v>34</v>
      </c>
      <c r="AB37" s="30" t="s">
        <v>119</v>
      </c>
      <c r="AC37" s="30" t="s">
        <v>119</v>
      </c>
      <c r="AD37" s="30" t="s">
        <v>119</v>
      </c>
      <c r="AE37" s="30" t="s">
        <v>119</v>
      </c>
      <c r="AF37" s="30" t="s">
        <v>119</v>
      </c>
      <c r="AG37" s="30">
        <v>2.8962818003913801E-2</v>
      </c>
      <c r="AH37" s="30">
        <v>2.8962818003913801E-2</v>
      </c>
      <c r="AI37" s="20" t="s">
        <v>119</v>
      </c>
      <c r="AJ37" s="20">
        <v>0</v>
      </c>
      <c r="AK37" s="20" t="s">
        <v>34</v>
      </c>
      <c r="AL37" s="20">
        <v>0</v>
      </c>
      <c r="AM37" s="20" t="s">
        <v>37</v>
      </c>
      <c r="AN37" s="20" t="s">
        <v>119</v>
      </c>
      <c r="AO37" s="20" t="s">
        <v>119</v>
      </c>
      <c r="AP37" s="20" t="s">
        <v>38</v>
      </c>
      <c r="AQ37" s="20" t="s">
        <v>119</v>
      </c>
      <c r="AR37" s="20" t="s">
        <v>119</v>
      </c>
      <c r="AS37" s="20">
        <v>4</v>
      </c>
      <c r="AT37" s="20" t="s">
        <v>58</v>
      </c>
      <c r="AU37" s="20" t="s">
        <v>58</v>
      </c>
      <c r="AV37" s="20" t="s">
        <v>157</v>
      </c>
      <c r="AW37" s="20" t="s">
        <v>229</v>
      </c>
      <c r="AX37" s="55">
        <v>1</v>
      </c>
      <c r="AY37" s="20" t="s">
        <v>172</v>
      </c>
      <c r="AZ37" s="20" t="s">
        <v>119</v>
      </c>
      <c r="BA37" s="20" t="s">
        <v>119</v>
      </c>
      <c r="BB37" s="20" t="s">
        <v>161</v>
      </c>
      <c r="BC37" s="20" t="s">
        <v>183</v>
      </c>
      <c r="BD37" s="19" t="s">
        <v>316</v>
      </c>
      <c r="BE37" s="20" t="s">
        <v>309</v>
      </c>
      <c r="BF37" s="19" t="s">
        <v>315</v>
      </c>
      <c r="BG37" s="20" t="s">
        <v>35</v>
      </c>
      <c r="BH37" s="20">
        <v>29</v>
      </c>
      <c r="BI37" s="20">
        <v>20</v>
      </c>
      <c r="BJ37" s="1">
        <v>-9</v>
      </c>
      <c r="BK37" s="1" t="s">
        <v>262</v>
      </c>
      <c r="BL37" s="5">
        <v>19</v>
      </c>
      <c r="BM37" s="1">
        <v>12.5</v>
      </c>
      <c r="BN37" s="1">
        <v>9</v>
      </c>
      <c r="BO37" s="45">
        <f t="shared" si="10"/>
        <v>4.166666666666667</v>
      </c>
      <c r="BP37" s="5" t="s">
        <v>119</v>
      </c>
      <c r="BQ37" s="5">
        <v>13.1</v>
      </c>
      <c r="BR37" s="6">
        <v>7.8</v>
      </c>
      <c r="BS37" s="14">
        <v>8</v>
      </c>
      <c r="BT37" s="45">
        <f t="shared" si="11"/>
        <v>2.7577164466275352</v>
      </c>
      <c r="BU37" s="21" t="s">
        <v>119</v>
      </c>
      <c r="BV37" s="20">
        <v>1</v>
      </c>
      <c r="BW37" s="20" t="s">
        <v>362</v>
      </c>
      <c r="BX37" s="20" t="s">
        <v>363</v>
      </c>
      <c r="BY37" s="20" t="s">
        <v>119</v>
      </c>
      <c r="BZ37" s="24" t="s">
        <v>364</v>
      </c>
    </row>
    <row r="38" spans="2:78" ht="15" customHeight="1" x14ac:dyDescent="0.35">
      <c r="B38" s="20" t="s">
        <v>324</v>
      </c>
      <c r="C38" s="20" t="s">
        <v>370</v>
      </c>
      <c r="D38" s="20">
        <v>2011</v>
      </c>
      <c r="E38" s="20" t="s">
        <v>143</v>
      </c>
      <c r="F38" s="20" t="s">
        <v>152</v>
      </c>
      <c r="G38" s="20" t="s">
        <v>153</v>
      </c>
      <c r="H38" s="20" t="s">
        <v>150</v>
      </c>
      <c r="I38" s="20" t="s">
        <v>307</v>
      </c>
      <c r="J38" s="24" t="s">
        <v>151</v>
      </c>
      <c r="K38" s="24">
        <v>70</v>
      </c>
      <c r="L38" s="24">
        <v>2555</v>
      </c>
      <c r="M38" s="24">
        <v>5110</v>
      </c>
      <c r="N38" s="24" t="s">
        <v>119</v>
      </c>
      <c r="O38" s="24" t="s">
        <v>34</v>
      </c>
      <c r="P38" s="20" t="s">
        <v>32</v>
      </c>
      <c r="Q38" s="20" t="s">
        <v>33</v>
      </c>
      <c r="R38" s="20" t="s">
        <v>119</v>
      </c>
      <c r="S38" s="20" t="s">
        <v>119</v>
      </c>
      <c r="T38" s="20" t="s">
        <v>119</v>
      </c>
      <c r="U38" s="20" t="s">
        <v>119</v>
      </c>
      <c r="V38" s="20" t="s">
        <v>119</v>
      </c>
      <c r="W38" s="20" t="s">
        <v>119</v>
      </c>
      <c r="X38" s="20">
        <v>74</v>
      </c>
      <c r="Y38" s="20" t="s">
        <v>34</v>
      </c>
      <c r="Z38" s="20">
        <v>74</v>
      </c>
      <c r="AA38" s="20" t="s">
        <v>34</v>
      </c>
      <c r="AB38" s="30" t="s">
        <v>119</v>
      </c>
      <c r="AC38" s="30" t="s">
        <v>119</v>
      </c>
      <c r="AD38" s="30" t="s">
        <v>119</v>
      </c>
      <c r="AE38" s="30" t="s">
        <v>119</v>
      </c>
      <c r="AF38" s="30" t="s">
        <v>119</v>
      </c>
      <c r="AG38" s="30">
        <v>2.8962818003913801E-2</v>
      </c>
      <c r="AH38" s="30">
        <v>2.8962818003913801E-2</v>
      </c>
      <c r="AI38" s="20" t="s">
        <v>119</v>
      </c>
      <c r="AJ38" s="20">
        <v>0</v>
      </c>
      <c r="AK38" s="20" t="s">
        <v>34</v>
      </c>
      <c r="AL38" s="20">
        <v>0</v>
      </c>
      <c r="AM38" s="20" t="s">
        <v>37</v>
      </c>
      <c r="AN38" s="20" t="s">
        <v>119</v>
      </c>
      <c r="AO38" s="20" t="s">
        <v>119</v>
      </c>
      <c r="AP38" s="20" t="s">
        <v>38</v>
      </c>
      <c r="AQ38" s="20" t="s">
        <v>119</v>
      </c>
      <c r="AR38" s="20" t="s">
        <v>119</v>
      </c>
      <c r="AS38" s="20">
        <v>4</v>
      </c>
      <c r="AT38" s="20" t="s">
        <v>58</v>
      </c>
      <c r="AU38" s="20" t="s">
        <v>58</v>
      </c>
      <c r="AV38" s="20" t="s">
        <v>157</v>
      </c>
      <c r="AW38" s="20" t="s">
        <v>229</v>
      </c>
      <c r="AX38" s="55">
        <v>1</v>
      </c>
      <c r="AY38" s="20" t="s">
        <v>172</v>
      </c>
      <c r="AZ38" s="20" t="s">
        <v>119</v>
      </c>
      <c r="BA38" s="20" t="s">
        <v>119</v>
      </c>
      <c r="BB38" s="20" t="s">
        <v>161</v>
      </c>
      <c r="BC38" s="20" t="s">
        <v>182</v>
      </c>
      <c r="BD38" s="19" t="s">
        <v>317</v>
      </c>
      <c r="BE38" s="20" t="s">
        <v>309</v>
      </c>
      <c r="BF38" s="19" t="s">
        <v>315</v>
      </c>
      <c r="BG38" s="20" t="s">
        <v>35</v>
      </c>
      <c r="BH38" s="20">
        <v>29</v>
      </c>
      <c r="BI38" s="20">
        <v>20</v>
      </c>
      <c r="BJ38" s="1">
        <v>-9</v>
      </c>
      <c r="BK38" s="1" t="s">
        <v>262</v>
      </c>
      <c r="BL38" s="5">
        <v>163</v>
      </c>
      <c r="BM38" s="1">
        <v>59.6</v>
      </c>
      <c r="BN38" s="1">
        <v>9</v>
      </c>
      <c r="BO38" s="45">
        <f t="shared" si="10"/>
        <v>19.866666666666667</v>
      </c>
      <c r="BP38" s="5" t="s">
        <v>119</v>
      </c>
      <c r="BQ38" s="5">
        <v>144.9</v>
      </c>
      <c r="BR38" s="6">
        <v>81.599999999999994</v>
      </c>
      <c r="BS38" s="14">
        <v>8</v>
      </c>
      <c r="BT38" s="45">
        <f t="shared" si="11"/>
        <v>28.849956672411135</v>
      </c>
      <c r="BU38" s="21" t="s">
        <v>119</v>
      </c>
      <c r="BV38" s="20">
        <v>1</v>
      </c>
      <c r="BW38" s="20" t="s">
        <v>362</v>
      </c>
      <c r="BX38" s="20" t="s">
        <v>363</v>
      </c>
      <c r="BY38" s="20" t="s">
        <v>119</v>
      </c>
      <c r="BZ38" s="24" t="s">
        <v>364</v>
      </c>
    </row>
    <row r="39" spans="2:78" ht="15" customHeight="1" x14ac:dyDescent="0.35">
      <c r="B39" s="20" t="s">
        <v>324</v>
      </c>
      <c r="C39" s="20" t="s">
        <v>370</v>
      </c>
      <c r="D39" s="20">
        <v>2011</v>
      </c>
      <c r="E39" s="20" t="s">
        <v>143</v>
      </c>
      <c r="F39" s="20" t="s">
        <v>152</v>
      </c>
      <c r="G39" s="20" t="s">
        <v>153</v>
      </c>
      <c r="H39" s="20" t="s">
        <v>150</v>
      </c>
      <c r="I39" s="20" t="s">
        <v>307</v>
      </c>
      <c r="J39" s="24" t="s">
        <v>151</v>
      </c>
      <c r="K39" s="24">
        <v>70</v>
      </c>
      <c r="L39" s="24">
        <v>2555</v>
      </c>
      <c r="M39" s="24">
        <v>5110</v>
      </c>
      <c r="N39" s="24" t="s">
        <v>119</v>
      </c>
      <c r="O39" s="24" t="s">
        <v>34</v>
      </c>
      <c r="P39" s="20" t="s">
        <v>32</v>
      </c>
      <c r="Q39" s="20" t="s">
        <v>33</v>
      </c>
      <c r="R39" s="20" t="s">
        <v>119</v>
      </c>
      <c r="S39" s="20" t="s">
        <v>119</v>
      </c>
      <c r="T39" s="20" t="s">
        <v>119</v>
      </c>
      <c r="U39" s="20" t="s">
        <v>119</v>
      </c>
      <c r="V39" s="20" t="s">
        <v>119</v>
      </c>
      <c r="W39" s="20" t="s">
        <v>119</v>
      </c>
      <c r="X39" s="20">
        <v>74</v>
      </c>
      <c r="Y39" s="20" t="s">
        <v>34</v>
      </c>
      <c r="Z39" s="20">
        <v>74</v>
      </c>
      <c r="AA39" s="20" t="s">
        <v>34</v>
      </c>
      <c r="AB39" s="30" t="s">
        <v>119</v>
      </c>
      <c r="AC39" s="30" t="s">
        <v>119</v>
      </c>
      <c r="AD39" s="30" t="s">
        <v>119</v>
      </c>
      <c r="AE39" s="30" t="s">
        <v>119</v>
      </c>
      <c r="AF39" s="30" t="s">
        <v>119</v>
      </c>
      <c r="AG39" s="30">
        <v>2.8962818003913801E-2</v>
      </c>
      <c r="AH39" s="30">
        <v>2.8962818003913801E-2</v>
      </c>
      <c r="AI39" s="20" t="s">
        <v>119</v>
      </c>
      <c r="AJ39" s="20">
        <v>0</v>
      </c>
      <c r="AK39" s="20" t="s">
        <v>34</v>
      </c>
      <c r="AL39" s="20">
        <v>0</v>
      </c>
      <c r="AM39" s="20" t="s">
        <v>37</v>
      </c>
      <c r="AN39" s="20" t="s">
        <v>119</v>
      </c>
      <c r="AO39" s="20" t="s">
        <v>119</v>
      </c>
      <c r="AP39" s="20" t="s">
        <v>38</v>
      </c>
      <c r="AQ39" s="20" t="s">
        <v>119</v>
      </c>
      <c r="AR39" s="20" t="s">
        <v>119</v>
      </c>
      <c r="AS39" s="20">
        <v>4</v>
      </c>
      <c r="AT39" s="20" t="s">
        <v>57</v>
      </c>
      <c r="AU39" s="20" t="s">
        <v>57</v>
      </c>
      <c r="AV39" s="20" t="s">
        <v>157</v>
      </c>
      <c r="AW39" s="20" t="s">
        <v>229</v>
      </c>
      <c r="AX39" s="55">
        <v>1</v>
      </c>
      <c r="AY39" s="20" t="s">
        <v>163</v>
      </c>
      <c r="AZ39" s="20" t="s">
        <v>119</v>
      </c>
      <c r="BA39" s="20" t="s">
        <v>119</v>
      </c>
      <c r="BB39" s="20" t="s">
        <v>161</v>
      </c>
      <c r="BC39" s="20" t="s">
        <v>59</v>
      </c>
      <c r="BD39" s="19" t="s">
        <v>308</v>
      </c>
      <c r="BE39" s="20" t="s">
        <v>309</v>
      </c>
      <c r="BF39" s="19" t="s">
        <v>310</v>
      </c>
      <c r="BG39" s="20" t="s">
        <v>55</v>
      </c>
      <c r="BH39" s="20">
        <v>29</v>
      </c>
      <c r="BI39" s="20">
        <v>20</v>
      </c>
      <c r="BJ39" s="1">
        <v>-9</v>
      </c>
      <c r="BK39" s="1" t="s">
        <v>262</v>
      </c>
      <c r="BL39" s="7">
        <v>17.545104159277301</v>
      </c>
      <c r="BM39" s="45">
        <v>1.753564588210299</v>
      </c>
      <c r="BN39" s="1">
        <v>9</v>
      </c>
      <c r="BO39" s="45">
        <f t="shared" si="10"/>
        <v>0.58452152940343305</v>
      </c>
      <c r="BP39" s="5" t="s">
        <v>119</v>
      </c>
      <c r="BQ39" s="7">
        <v>20.819086803338699</v>
      </c>
      <c r="BR39" s="45">
        <v>4.234470691163601</v>
      </c>
      <c r="BS39" s="14">
        <v>8</v>
      </c>
      <c r="BT39" s="45">
        <f t="shared" si="11"/>
        <v>1.4971114702287345</v>
      </c>
      <c r="BU39" s="21" t="s">
        <v>119</v>
      </c>
      <c r="BV39" s="20">
        <v>1</v>
      </c>
      <c r="BW39" s="20" t="s">
        <v>362</v>
      </c>
      <c r="BX39" s="20" t="s">
        <v>363</v>
      </c>
      <c r="BY39" s="20" t="s">
        <v>119</v>
      </c>
      <c r="BZ39" s="24" t="s">
        <v>364</v>
      </c>
    </row>
    <row r="40" spans="2:78" ht="15" customHeight="1" x14ac:dyDescent="0.35">
      <c r="B40" s="20" t="s">
        <v>324</v>
      </c>
      <c r="C40" s="20" t="s">
        <v>370</v>
      </c>
      <c r="D40" s="20">
        <v>2011</v>
      </c>
      <c r="E40" s="20" t="s">
        <v>143</v>
      </c>
      <c r="F40" s="20" t="s">
        <v>152</v>
      </c>
      <c r="G40" s="20" t="s">
        <v>153</v>
      </c>
      <c r="H40" s="20" t="s">
        <v>150</v>
      </c>
      <c r="I40" s="20" t="s">
        <v>307</v>
      </c>
      <c r="J40" s="24" t="s">
        <v>151</v>
      </c>
      <c r="K40" s="24">
        <v>70</v>
      </c>
      <c r="L40" s="24">
        <v>2555</v>
      </c>
      <c r="M40" s="24">
        <v>5110</v>
      </c>
      <c r="N40" s="24" t="s">
        <v>119</v>
      </c>
      <c r="O40" s="24" t="s">
        <v>34</v>
      </c>
      <c r="P40" s="20" t="s">
        <v>32</v>
      </c>
      <c r="Q40" s="20" t="s">
        <v>33</v>
      </c>
      <c r="R40" s="20" t="s">
        <v>119</v>
      </c>
      <c r="S40" s="20" t="s">
        <v>119</v>
      </c>
      <c r="T40" s="20" t="s">
        <v>119</v>
      </c>
      <c r="U40" s="20" t="s">
        <v>119</v>
      </c>
      <c r="V40" s="20" t="s">
        <v>119</v>
      </c>
      <c r="W40" s="20" t="s">
        <v>119</v>
      </c>
      <c r="X40" s="20">
        <v>74</v>
      </c>
      <c r="Y40" s="20" t="s">
        <v>34</v>
      </c>
      <c r="Z40" s="20">
        <v>74</v>
      </c>
      <c r="AA40" s="20" t="s">
        <v>34</v>
      </c>
      <c r="AB40" s="30" t="s">
        <v>119</v>
      </c>
      <c r="AC40" s="30" t="s">
        <v>119</v>
      </c>
      <c r="AD40" s="30" t="s">
        <v>119</v>
      </c>
      <c r="AE40" s="30" t="s">
        <v>119</v>
      </c>
      <c r="AF40" s="30" t="s">
        <v>119</v>
      </c>
      <c r="AG40" s="30">
        <v>2.8962818003913801E-2</v>
      </c>
      <c r="AH40" s="30">
        <v>2.8962818003913801E-2</v>
      </c>
      <c r="AI40" s="20" t="s">
        <v>119</v>
      </c>
      <c r="AJ40" s="20">
        <v>0</v>
      </c>
      <c r="AK40" s="20" t="s">
        <v>34</v>
      </c>
      <c r="AL40" s="20">
        <v>0</v>
      </c>
      <c r="AM40" s="20" t="s">
        <v>37</v>
      </c>
      <c r="AN40" s="20" t="s">
        <v>119</v>
      </c>
      <c r="AO40" s="20" t="s">
        <v>119</v>
      </c>
      <c r="AP40" s="20" t="s">
        <v>38</v>
      </c>
      <c r="AQ40" s="20" t="s">
        <v>119</v>
      </c>
      <c r="AR40" s="20" t="s">
        <v>119</v>
      </c>
      <c r="AS40" s="20">
        <v>4</v>
      </c>
      <c r="AT40" s="20" t="s">
        <v>57</v>
      </c>
      <c r="AU40" s="20" t="s">
        <v>57</v>
      </c>
      <c r="AV40" s="20" t="s">
        <v>157</v>
      </c>
      <c r="AW40" s="20" t="s">
        <v>229</v>
      </c>
      <c r="AX40" s="55">
        <v>0</v>
      </c>
      <c r="AY40" s="20" t="s">
        <v>61</v>
      </c>
      <c r="AZ40" s="20" t="s">
        <v>119</v>
      </c>
      <c r="BA40" s="20" t="s">
        <v>119</v>
      </c>
      <c r="BB40" s="20" t="s">
        <v>161</v>
      </c>
      <c r="BC40" s="20" t="s">
        <v>36</v>
      </c>
      <c r="BD40" s="19" t="s">
        <v>311</v>
      </c>
      <c r="BE40" s="20" t="s">
        <v>309</v>
      </c>
      <c r="BF40" s="19" t="s">
        <v>312</v>
      </c>
      <c r="BG40" s="20" t="s">
        <v>55</v>
      </c>
      <c r="BH40" s="20">
        <v>29</v>
      </c>
      <c r="BI40" s="20">
        <v>20</v>
      </c>
      <c r="BJ40" s="1">
        <v>-9</v>
      </c>
      <c r="BK40" s="1" t="s">
        <v>262</v>
      </c>
      <c r="BL40" s="7">
        <v>4.6889409094133399</v>
      </c>
      <c r="BM40" s="45">
        <v>1.0196022794447899</v>
      </c>
      <c r="BN40" s="1">
        <v>9</v>
      </c>
      <c r="BO40" s="45">
        <f t="shared" si="10"/>
        <v>0.33986742648159662</v>
      </c>
      <c r="BP40" s="5" t="s">
        <v>119</v>
      </c>
      <c r="BQ40" s="7">
        <v>4.3096639947033397</v>
      </c>
      <c r="BR40" s="45">
        <v>0.58452152940343005</v>
      </c>
      <c r="BS40" s="14">
        <v>8</v>
      </c>
      <c r="BT40" s="45">
        <f t="shared" si="11"/>
        <v>0.20665956859534865</v>
      </c>
      <c r="BU40" s="21" t="s">
        <v>119</v>
      </c>
      <c r="BV40" s="20">
        <v>1</v>
      </c>
      <c r="BW40" s="20" t="s">
        <v>362</v>
      </c>
      <c r="BX40" s="20" t="s">
        <v>363</v>
      </c>
      <c r="BY40" s="20" t="s">
        <v>119</v>
      </c>
      <c r="BZ40" s="24" t="s">
        <v>364</v>
      </c>
    </row>
    <row r="41" spans="2:78" ht="15" customHeight="1" x14ac:dyDescent="0.35">
      <c r="B41" s="20" t="s">
        <v>324</v>
      </c>
      <c r="C41" s="20" t="s">
        <v>370</v>
      </c>
      <c r="D41" s="20">
        <v>2011</v>
      </c>
      <c r="E41" s="20" t="s">
        <v>143</v>
      </c>
      <c r="F41" s="20" t="s">
        <v>152</v>
      </c>
      <c r="G41" s="20" t="s">
        <v>153</v>
      </c>
      <c r="H41" s="20" t="s">
        <v>150</v>
      </c>
      <c r="I41" s="20" t="s">
        <v>307</v>
      </c>
      <c r="J41" s="24" t="s">
        <v>151</v>
      </c>
      <c r="K41" s="24">
        <v>70</v>
      </c>
      <c r="L41" s="24">
        <v>2555</v>
      </c>
      <c r="M41" s="24">
        <v>5110</v>
      </c>
      <c r="N41" s="24" t="s">
        <v>119</v>
      </c>
      <c r="O41" s="24" t="s">
        <v>34</v>
      </c>
      <c r="P41" s="20" t="s">
        <v>32</v>
      </c>
      <c r="Q41" s="20" t="s">
        <v>33</v>
      </c>
      <c r="R41" s="20" t="s">
        <v>119</v>
      </c>
      <c r="S41" s="20" t="s">
        <v>119</v>
      </c>
      <c r="T41" s="20" t="s">
        <v>119</v>
      </c>
      <c r="U41" s="20" t="s">
        <v>119</v>
      </c>
      <c r="V41" s="20" t="s">
        <v>119</v>
      </c>
      <c r="W41" s="20" t="s">
        <v>119</v>
      </c>
      <c r="X41" s="20">
        <v>74</v>
      </c>
      <c r="Y41" s="20" t="s">
        <v>34</v>
      </c>
      <c r="Z41" s="20">
        <v>74</v>
      </c>
      <c r="AA41" s="20" t="s">
        <v>34</v>
      </c>
      <c r="AB41" s="30" t="s">
        <v>119</v>
      </c>
      <c r="AC41" s="30" t="s">
        <v>119</v>
      </c>
      <c r="AD41" s="30" t="s">
        <v>119</v>
      </c>
      <c r="AE41" s="30" t="s">
        <v>119</v>
      </c>
      <c r="AF41" s="30" t="s">
        <v>119</v>
      </c>
      <c r="AG41" s="30">
        <v>2.8962818003913801E-2</v>
      </c>
      <c r="AH41" s="30">
        <v>2.8962818003913801E-2</v>
      </c>
      <c r="AI41" s="20" t="s">
        <v>119</v>
      </c>
      <c r="AJ41" s="20">
        <v>0</v>
      </c>
      <c r="AK41" s="20" t="s">
        <v>34</v>
      </c>
      <c r="AL41" s="20">
        <v>0</v>
      </c>
      <c r="AM41" s="20" t="s">
        <v>37</v>
      </c>
      <c r="AN41" s="20" t="s">
        <v>119</v>
      </c>
      <c r="AO41" s="20" t="s">
        <v>119</v>
      </c>
      <c r="AP41" s="20" t="s">
        <v>38</v>
      </c>
      <c r="AQ41" s="20" t="s">
        <v>119</v>
      </c>
      <c r="AR41" s="20" t="s">
        <v>119</v>
      </c>
      <c r="AS41" s="20">
        <v>4</v>
      </c>
      <c r="AT41" s="20" t="s">
        <v>57</v>
      </c>
      <c r="AU41" s="20" t="s">
        <v>57</v>
      </c>
      <c r="AV41" s="20" t="s">
        <v>157</v>
      </c>
      <c r="AW41" s="20" t="s">
        <v>229</v>
      </c>
      <c r="AX41" s="55">
        <v>1</v>
      </c>
      <c r="AY41" s="20" t="s">
        <v>163</v>
      </c>
      <c r="AZ41" s="20" t="s">
        <v>119</v>
      </c>
      <c r="BA41" s="20" t="s">
        <v>119</v>
      </c>
      <c r="BB41" s="20" t="s">
        <v>161</v>
      </c>
      <c r="BC41" s="20" t="s">
        <v>313</v>
      </c>
      <c r="BD41" s="19" t="s">
        <v>314</v>
      </c>
      <c r="BE41" s="20" t="s">
        <v>309</v>
      </c>
      <c r="BF41" s="19" t="s">
        <v>315</v>
      </c>
      <c r="BG41" s="20" t="s">
        <v>90</v>
      </c>
      <c r="BH41" s="20">
        <v>29</v>
      </c>
      <c r="BI41" s="20">
        <v>20</v>
      </c>
      <c r="BJ41" s="1">
        <v>-9</v>
      </c>
      <c r="BK41" s="1" t="s">
        <v>262</v>
      </c>
      <c r="BL41" s="5">
        <v>10</v>
      </c>
      <c r="BM41" s="1">
        <v>4</v>
      </c>
      <c r="BN41" s="1">
        <v>9</v>
      </c>
      <c r="BO41" s="6">
        <f>BM41/SQRT(BN41)</f>
        <v>1.3333333333333333</v>
      </c>
      <c r="BP41" s="5" t="s">
        <v>119</v>
      </c>
      <c r="BQ41" s="5">
        <v>14.1</v>
      </c>
      <c r="BR41" s="6">
        <v>8.5</v>
      </c>
      <c r="BS41" s="14">
        <v>8</v>
      </c>
      <c r="BT41" s="6">
        <f>BR41/SQRT(BS41)</f>
        <v>3.0052038200428268</v>
      </c>
      <c r="BU41" s="21" t="s">
        <v>119</v>
      </c>
      <c r="BV41" s="20">
        <v>1</v>
      </c>
      <c r="BW41" s="20" t="s">
        <v>362</v>
      </c>
      <c r="BX41" s="20" t="s">
        <v>363</v>
      </c>
      <c r="BY41" s="20" t="s">
        <v>119</v>
      </c>
      <c r="BZ41" s="24" t="s">
        <v>364</v>
      </c>
    </row>
    <row r="42" spans="2:78" ht="15" customHeight="1" x14ac:dyDescent="0.35">
      <c r="B42" s="20" t="s">
        <v>324</v>
      </c>
      <c r="C42" s="20" t="s">
        <v>370</v>
      </c>
      <c r="D42" s="20">
        <v>2011</v>
      </c>
      <c r="E42" s="20" t="s">
        <v>143</v>
      </c>
      <c r="F42" s="20" t="s">
        <v>152</v>
      </c>
      <c r="G42" s="20" t="s">
        <v>153</v>
      </c>
      <c r="H42" s="20" t="s">
        <v>150</v>
      </c>
      <c r="I42" s="20" t="s">
        <v>307</v>
      </c>
      <c r="J42" s="24" t="s">
        <v>151</v>
      </c>
      <c r="K42" s="24">
        <v>70</v>
      </c>
      <c r="L42" s="24">
        <v>2555</v>
      </c>
      <c r="M42" s="24">
        <v>5110</v>
      </c>
      <c r="N42" s="24" t="s">
        <v>119</v>
      </c>
      <c r="O42" s="24" t="s">
        <v>34</v>
      </c>
      <c r="P42" s="20" t="s">
        <v>32</v>
      </c>
      <c r="Q42" s="20" t="s">
        <v>33</v>
      </c>
      <c r="R42" s="20" t="s">
        <v>119</v>
      </c>
      <c r="S42" s="20" t="s">
        <v>119</v>
      </c>
      <c r="T42" s="20" t="s">
        <v>119</v>
      </c>
      <c r="U42" s="20" t="s">
        <v>119</v>
      </c>
      <c r="V42" s="20" t="s">
        <v>119</v>
      </c>
      <c r="W42" s="20" t="s">
        <v>119</v>
      </c>
      <c r="X42" s="20">
        <v>74</v>
      </c>
      <c r="Y42" s="20" t="s">
        <v>34</v>
      </c>
      <c r="Z42" s="20">
        <v>74</v>
      </c>
      <c r="AA42" s="20" t="s">
        <v>34</v>
      </c>
      <c r="AB42" s="30" t="s">
        <v>119</v>
      </c>
      <c r="AC42" s="30" t="s">
        <v>119</v>
      </c>
      <c r="AD42" s="30" t="s">
        <v>119</v>
      </c>
      <c r="AE42" s="30" t="s">
        <v>119</v>
      </c>
      <c r="AF42" s="30" t="s">
        <v>119</v>
      </c>
      <c r="AG42" s="30">
        <v>2.8962818003913801E-2</v>
      </c>
      <c r="AH42" s="30">
        <v>2.8962818003913801E-2</v>
      </c>
      <c r="AI42" s="20" t="s">
        <v>119</v>
      </c>
      <c r="AJ42" s="20">
        <v>0</v>
      </c>
      <c r="AK42" s="20" t="s">
        <v>34</v>
      </c>
      <c r="AL42" s="20">
        <v>0</v>
      </c>
      <c r="AM42" s="20" t="s">
        <v>37</v>
      </c>
      <c r="AN42" s="20" t="s">
        <v>119</v>
      </c>
      <c r="AO42" s="20" t="s">
        <v>119</v>
      </c>
      <c r="AP42" s="20" t="s">
        <v>38</v>
      </c>
      <c r="AQ42" s="20" t="s">
        <v>119</v>
      </c>
      <c r="AR42" s="20" t="s">
        <v>119</v>
      </c>
      <c r="AS42" s="20">
        <v>4</v>
      </c>
      <c r="AT42" s="20" t="s">
        <v>57</v>
      </c>
      <c r="AU42" s="20" t="s">
        <v>57</v>
      </c>
      <c r="AV42" s="20" t="s">
        <v>157</v>
      </c>
      <c r="AW42" s="20" t="s">
        <v>229</v>
      </c>
      <c r="AX42" s="55">
        <v>1</v>
      </c>
      <c r="AY42" s="20" t="s">
        <v>172</v>
      </c>
      <c r="AZ42" s="20" t="s">
        <v>119</v>
      </c>
      <c r="BA42" s="20" t="s">
        <v>119</v>
      </c>
      <c r="BB42" s="20" t="s">
        <v>161</v>
      </c>
      <c r="BC42" s="20" t="s">
        <v>183</v>
      </c>
      <c r="BD42" s="19" t="s">
        <v>316</v>
      </c>
      <c r="BE42" s="20" t="s">
        <v>309</v>
      </c>
      <c r="BF42" s="19" t="s">
        <v>315</v>
      </c>
      <c r="BG42" s="20" t="s">
        <v>90</v>
      </c>
      <c r="BH42" s="20">
        <v>29</v>
      </c>
      <c r="BI42" s="20">
        <v>20</v>
      </c>
      <c r="BJ42" s="1">
        <v>-9</v>
      </c>
      <c r="BK42" s="1" t="s">
        <v>262</v>
      </c>
      <c r="BL42" s="5">
        <v>18.7</v>
      </c>
      <c r="BM42" s="1">
        <v>6.9</v>
      </c>
      <c r="BN42" s="1">
        <v>9</v>
      </c>
      <c r="BO42" s="6">
        <f t="shared" si="10"/>
        <v>2.3000000000000003</v>
      </c>
      <c r="BP42" s="5" t="s">
        <v>119</v>
      </c>
      <c r="BQ42" s="5">
        <v>26.5</v>
      </c>
      <c r="BR42" s="6">
        <v>11</v>
      </c>
      <c r="BS42" s="14">
        <v>8</v>
      </c>
      <c r="BT42" s="6">
        <f>BR42/SQRT(BS42)</f>
        <v>3.8890872965260113</v>
      </c>
      <c r="BU42" s="21" t="s">
        <v>119</v>
      </c>
      <c r="BV42" s="20">
        <v>1</v>
      </c>
      <c r="BW42" s="20" t="s">
        <v>362</v>
      </c>
      <c r="BX42" s="20" t="s">
        <v>363</v>
      </c>
      <c r="BY42" s="20" t="s">
        <v>119</v>
      </c>
      <c r="BZ42" s="24" t="s">
        <v>364</v>
      </c>
    </row>
    <row r="43" spans="2:78" ht="15" customHeight="1" x14ac:dyDescent="0.35">
      <c r="B43" s="20" t="s">
        <v>324</v>
      </c>
      <c r="C43" s="20" t="s">
        <v>370</v>
      </c>
      <c r="D43" s="20">
        <v>2011</v>
      </c>
      <c r="E43" s="20" t="s">
        <v>143</v>
      </c>
      <c r="F43" s="20" t="s">
        <v>152</v>
      </c>
      <c r="G43" s="20" t="s">
        <v>153</v>
      </c>
      <c r="H43" s="20" t="s">
        <v>150</v>
      </c>
      <c r="I43" s="20" t="s">
        <v>307</v>
      </c>
      <c r="J43" s="24" t="s">
        <v>151</v>
      </c>
      <c r="K43" s="24">
        <v>70</v>
      </c>
      <c r="L43" s="24">
        <v>2555</v>
      </c>
      <c r="M43" s="24">
        <v>5110</v>
      </c>
      <c r="N43" s="24" t="s">
        <v>119</v>
      </c>
      <c r="O43" s="24" t="s">
        <v>34</v>
      </c>
      <c r="P43" s="20" t="s">
        <v>32</v>
      </c>
      <c r="Q43" s="20" t="s">
        <v>33</v>
      </c>
      <c r="R43" s="20" t="s">
        <v>119</v>
      </c>
      <c r="S43" s="20" t="s">
        <v>119</v>
      </c>
      <c r="T43" s="20" t="s">
        <v>119</v>
      </c>
      <c r="U43" s="20" t="s">
        <v>119</v>
      </c>
      <c r="V43" s="20" t="s">
        <v>119</v>
      </c>
      <c r="W43" s="20" t="s">
        <v>119</v>
      </c>
      <c r="X43" s="20">
        <v>74</v>
      </c>
      <c r="Y43" s="20" t="s">
        <v>34</v>
      </c>
      <c r="Z43" s="20">
        <v>74</v>
      </c>
      <c r="AA43" s="20" t="s">
        <v>34</v>
      </c>
      <c r="AB43" s="30" t="s">
        <v>119</v>
      </c>
      <c r="AC43" s="30" t="s">
        <v>119</v>
      </c>
      <c r="AD43" s="30" t="s">
        <v>119</v>
      </c>
      <c r="AE43" s="30" t="s">
        <v>119</v>
      </c>
      <c r="AF43" s="30" t="s">
        <v>119</v>
      </c>
      <c r="AG43" s="30">
        <v>2.8962818003913801E-2</v>
      </c>
      <c r="AH43" s="30">
        <v>2.8962818003913801E-2</v>
      </c>
      <c r="AI43" s="20" t="s">
        <v>119</v>
      </c>
      <c r="AJ43" s="20">
        <v>0</v>
      </c>
      <c r="AK43" s="20" t="s">
        <v>34</v>
      </c>
      <c r="AL43" s="20">
        <v>0</v>
      </c>
      <c r="AM43" s="20" t="s">
        <v>37</v>
      </c>
      <c r="AN43" s="20" t="s">
        <v>119</v>
      </c>
      <c r="AO43" s="20" t="s">
        <v>119</v>
      </c>
      <c r="AP43" s="20" t="s">
        <v>38</v>
      </c>
      <c r="AQ43" s="20" t="s">
        <v>119</v>
      </c>
      <c r="AR43" s="20" t="s">
        <v>119</v>
      </c>
      <c r="AS43" s="20">
        <v>4</v>
      </c>
      <c r="AT43" s="20" t="s">
        <v>57</v>
      </c>
      <c r="AU43" s="20" t="s">
        <v>57</v>
      </c>
      <c r="AV43" s="20" t="s">
        <v>157</v>
      </c>
      <c r="AW43" s="20" t="s">
        <v>229</v>
      </c>
      <c r="AX43" s="55">
        <v>1</v>
      </c>
      <c r="AY43" s="20" t="s">
        <v>172</v>
      </c>
      <c r="AZ43" s="20" t="s">
        <v>119</v>
      </c>
      <c r="BA43" s="20" t="s">
        <v>119</v>
      </c>
      <c r="BB43" s="20" t="s">
        <v>161</v>
      </c>
      <c r="BC43" s="20" t="s">
        <v>182</v>
      </c>
      <c r="BD43" s="19" t="s">
        <v>317</v>
      </c>
      <c r="BE43" s="20" t="s">
        <v>309</v>
      </c>
      <c r="BF43" s="19" t="s">
        <v>315</v>
      </c>
      <c r="BG43" s="20" t="s">
        <v>90</v>
      </c>
      <c r="BH43" s="20">
        <v>29</v>
      </c>
      <c r="BI43" s="20">
        <v>20</v>
      </c>
      <c r="BJ43" s="1">
        <v>-9</v>
      </c>
      <c r="BK43" s="1" t="s">
        <v>262</v>
      </c>
      <c r="BL43" s="5">
        <v>62.1</v>
      </c>
      <c r="BM43" s="1">
        <v>16</v>
      </c>
      <c r="BN43" s="1">
        <v>9</v>
      </c>
      <c r="BO43" s="6">
        <f t="shared" si="10"/>
        <v>5.333333333333333</v>
      </c>
      <c r="BP43" s="5" t="s">
        <v>119</v>
      </c>
      <c r="BQ43" s="5">
        <v>60.9</v>
      </c>
      <c r="BR43" s="6">
        <v>19.5</v>
      </c>
      <c r="BS43" s="14">
        <v>8</v>
      </c>
      <c r="BT43" s="6">
        <f t="shared" si="11"/>
        <v>6.8942911165688381</v>
      </c>
      <c r="BU43" s="21" t="s">
        <v>119</v>
      </c>
      <c r="BV43" s="20">
        <v>1</v>
      </c>
      <c r="BW43" s="20" t="s">
        <v>362</v>
      </c>
      <c r="BX43" s="20" t="s">
        <v>363</v>
      </c>
      <c r="BY43" s="20" t="s">
        <v>119</v>
      </c>
      <c r="BZ43" s="24" t="s">
        <v>364</v>
      </c>
    </row>
    <row r="44" spans="2:78" ht="15" customHeight="1" x14ac:dyDescent="0.35">
      <c r="B44" s="20" t="s">
        <v>324</v>
      </c>
      <c r="C44" s="20" t="s">
        <v>370</v>
      </c>
      <c r="D44" s="20">
        <v>2011</v>
      </c>
      <c r="E44" s="20" t="s">
        <v>143</v>
      </c>
      <c r="F44" s="20" t="s">
        <v>152</v>
      </c>
      <c r="G44" s="20" t="s">
        <v>153</v>
      </c>
      <c r="H44" s="20" t="s">
        <v>150</v>
      </c>
      <c r="I44" s="20" t="s">
        <v>307</v>
      </c>
      <c r="J44" s="24" t="s">
        <v>151</v>
      </c>
      <c r="K44" s="24">
        <v>70</v>
      </c>
      <c r="L44" s="24">
        <v>2555</v>
      </c>
      <c r="M44" s="24">
        <v>5110</v>
      </c>
      <c r="N44" s="24" t="s">
        <v>119</v>
      </c>
      <c r="O44" s="24" t="s">
        <v>34</v>
      </c>
      <c r="P44" s="20" t="s">
        <v>32</v>
      </c>
      <c r="Q44" s="20" t="s">
        <v>33</v>
      </c>
      <c r="R44" s="20" t="s">
        <v>119</v>
      </c>
      <c r="S44" s="20" t="s">
        <v>119</v>
      </c>
      <c r="T44" s="20" t="s">
        <v>119</v>
      </c>
      <c r="U44" s="20" t="s">
        <v>119</v>
      </c>
      <c r="V44" s="20" t="s">
        <v>119</v>
      </c>
      <c r="W44" s="20" t="s">
        <v>119</v>
      </c>
      <c r="X44" s="20">
        <v>74</v>
      </c>
      <c r="Y44" s="20" t="s">
        <v>34</v>
      </c>
      <c r="Z44" s="20">
        <v>74</v>
      </c>
      <c r="AA44" s="20" t="s">
        <v>34</v>
      </c>
      <c r="AB44" s="30" t="s">
        <v>119</v>
      </c>
      <c r="AC44" s="30" t="s">
        <v>119</v>
      </c>
      <c r="AD44" s="30" t="s">
        <v>119</v>
      </c>
      <c r="AE44" s="30" t="s">
        <v>119</v>
      </c>
      <c r="AF44" s="30" t="s">
        <v>119</v>
      </c>
      <c r="AG44" s="30">
        <v>2.8962818003913801E-2</v>
      </c>
      <c r="AH44" s="30">
        <v>2.8962818003913801E-2</v>
      </c>
      <c r="AI44" s="20" t="s">
        <v>119</v>
      </c>
      <c r="AJ44" s="20">
        <v>0</v>
      </c>
      <c r="AK44" s="20" t="s">
        <v>34</v>
      </c>
      <c r="AL44" s="20">
        <v>0</v>
      </c>
      <c r="AM44" s="20" t="s">
        <v>37</v>
      </c>
      <c r="AN44" s="20" t="s">
        <v>119</v>
      </c>
      <c r="AO44" s="20" t="s">
        <v>119</v>
      </c>
      <c r="AP44" s="20" t="s">
        <v>38</v>
      </c>
      <c r="AQ44" s="20" t="s">
        <v>119</v>
      </c>
      <c r="AR44" s="20" t="s">
        <v>119</v>
      </c>
      <c r="AS44" s="20">
        <v>4</v>
      </c>
      <c r="AT44" s="20" t="s">
        <v>58</v>
      </c>
      <c r="AU44" s="20" t="s">
        <v>298</v>
      </c>
      <c r="AV44" s="20" t="s">
        <v>119</v>
      </c>
      <c r="AW44" s="20" t="s">
        <v>230</v>
      </c>
      <c r="AX44" s="55">
        <v>0</v>
      </c>
      <c r="AY44" s="20" t="s">
        <v>119</v>
      </c>
      <c r="AZ44" s="20" t="s">
        <v>119</v>
      </c>
      <c r="BA44" s="20" t="s">
        <v>119</v>
      </c>
      <c r="BB44" s="20" t="s">
        <v>170</v>
      </c>
      <c r="BC44" s="20" t="s">
        <v>171</v>
      </c>
      <c r="BD44" s="19" t="s">
        <v>318</v>
      </c>
      <c r="BE44" s="20" t="s">
        <v>300</v>
      </c>
      <c r="BF44" s="19" t="s">
        <v>319</v>
      </c>
      <c r="BG44" s="20" t="s">
        <v>128</v>
      </c>
      <c r="BH44" s="20">
        <v>29</v>
      </c>
      <c r="BI44" s="20">
        <v>20</v>
      </c>
      <c r="BJ44" s="1">
        <v>-9</v>
      </c>
      <c r="BK44" s="1" t="s">
        <v>262</v>
      </c>
      <c r="BL44" s="7">
        <v>401.03249316732399</v>
      </c>
      <c r="BM44" s="45">
        <v>52.312987144448016</v>
      </c>
      <c r="BN44" s="1">
        <v>9</v>
      </c>
      <c r="BO44" s="6">
        <f>BM44/SQRT(BN44)</f>
        <v>17.437662381482671</v>
      </c>
      <c r="BP44" s="5" t="s">
        <v>119</v>
      </c>
      <c r="BQ44" s="7">
        <v>395.84978236663602</v>
      </c>
      <c r="BR44" s="45">
        <v>36.90656949083899</v>
      </c>
      <c r="BS44" s="14">
        <v>8</v>
      </c>
      <c r="BT44" s="6">
        <f t="shared" si="11"/>
        <v>13.048442778652397</v>
      </c>
      <c r="BU44" s="21" t="s">
        <v>119</v>
      </c>
      <c r="BV44" s="20">
        <v>1</v>
      </c>
      <c r="BW44" s="20" t="s">
        <v>362</v>
      </c>
      <c r="BX44" s="20" t="s">
        <v>363</v>
      </c>
      <c r="BY44" s="20" t="s">
        <v>119</v>
      </c>
      <c r="BZ44" s="24" t="s">
        <v>364</v>
      </c>
    </row>
    <row r="45" spans="2:78" ht="15" customHeight="1" x14ac:dyDescent="0.35">
      <c r="B45" s="20" t="s">
        <v>324</v>
      </c>
      <c r="C45" s="20" t="s">
        <v>370</v>
      </c>
      <c r="D45" s="20">
        <v>2011</v>
      </c>
      <c r="E45" s="20" t="s">
        <v>143</v>
      </c>
      <c r="F45" s="20" t="s">
        <v>152</v>
      </c>
      <c r="G45" s="20" t="s">
        <v>153</v>
      </c>
      <c r="H45" s="20" t="s">
        <v>150</v>
      </c>
      <c r="I45" s="20" t="s">
        <v>307</v>
      </c>
      <c r="J45" s="24" t="s">
        <v>151</v>
      </c>
      <c r="K45" s="24">
        <v>70</v>
      </c>
      <c r="L45" s="24">
        <v>2555</v>
      </c>
      <c r="M45" s="24">
        <v>5110</v>
      </c>
      <c r="N45" s="24" t="s">
        <v>119</v>
      </c>
      <c r="O45" s="24" t="s">
        <v>34</v>
      </c>
      <c r="P45" s="20" t="s">
        <v>32</v>
      </c>
      <c r="Q45" s="20" t="s">
        <v>33</v>
      </c>
      <c r="R45" s="20" t="s">
        <v>119</v>
      </c>
      <c r="S45" s="20" t="s">
        <v>119</v>
      </c>
      <c r="T45" s="20" t="s">
        <v>119</v>
      </c>
      <c r="U45" s="20" t="s">
        <v>119</v>
      </c>
      <c r="V45" s="20" t="s">
        <v>119</v>
      </c>
      <c r="W45" s="20" t="s">
        <v>119</v>
      </c>
      <c r="X45" s="20">
        <v>74</v>
      </c>
      <c r="Y45" s="20" t="s">
        <v>34</v>
      </c>
      <c r="Z45" s="20">
        <v>74</v>
      </c>
      <c r="AA45" s="20" t="s">
        <v>34</v>
      </c>
      <c r="AB45" s="30" t="s">
        <v>119</v>
      </c>
      <c r="AC45" s="30" t="s">
        <v>119</v>
      </c>
      <c r="AD45" s="30" t="s">
        <v>119</v>
      </c>
      <c r="AE45" s="30" t="s">
        <v>119</v>
      </c>
      <c r="AF45" s="30" t="s">
        <v>119</v>
      </c>
      <c r="AG45" s="30">
        <v>2.8962818003913801E-2</v>
      </c>
      <c r="AH45" s="30">
        <v>2.8962818003913801E-2</v>
      </c>
      <c r="AI45" s="20" t="s">
        <v>119</v>
      </c>
      <c r="AJ45" s="20">
        <v>0</v>
      </c>
      <c r="AK45" s="20" t="s">
        <v>34</v>
      </c>
      <c r="AL45" s="20">
        <v>0</v>
      </c>
      <c r="AM45" s="20" t="s">
        <v>37</v>
      </c>
      <c r="AN45" s="20" t="s">
        <v>119</v>
      </c>
      <c r="AO45" s="20" t="s">
        <v>119</v>
      </c>
      <c r="AP45" s="20" t="s">
        <v>38</v>
      </c>
      <c r="AQ45" s="20" t="s">
        <v>119</v>
      </c>
      <c r="AR45" s="20" t="s">
        <v>119</v>
      </c>
      <c r="AS45" s="20">
        <v>4</v>
      </c>
      <c r="AT45" s="20" t="s">
        <v>58</v>
      </c>
      <c r="AU45" s="20" t="s">
        <v>298</v>
      </c>
      <c r="AV45" s="20" t="s">
        <v>119</v>
      </c>
      <c r="AW45" s="20" t="s">
        <v>229</v>
      </c>
      <c r="AX45" s="55">
        <v>1</v>
      </c>
      <c r="AY45" s="20" t="s">
        <v>119</v>
      </c>
      <c r="AZ45" s="20" t="s">
        <v>119</v>
      </c>
      <c r="BA45" s="20" t="s">
        <v>119</v>
      </c>
      <c r="BB45" s="20" t="s">
        <v>97</v>
      </c>
      <c r="BC45" s="20" t="s">
        <v>139</v>
      </c>
      <c r="BD45" s="19" t="s">
        <v>320</v>
      </c>
      <c r="BE45" s="20" t="s">
        <v>300</v>
      </c>
      <c r="BF45" s="19" t="s">
        <v>319</v>
      </c>
      <c r="BG45" s="20" t="s">
        <v>128</v>
      </c>
      <c r="BH45" s="20">
        <v>29</v>
      </c>
      <c r="BI45" s="20">
        <v>20</v>
      </c>
      <c r="BJ45" s="1">
        <v>-9</v>
      </c>
      <c r="BK45" s="1" t="s">
        <v>262</v>
      </c>
      <c r="BL45" s="7">
        <v>2.4914782221232001</v>
      </c>
      <c r="BM45" s="45">
        <v>0.5133117968140799</v>
      </c>
      <c r="BN45" s="1">
        <v>9</v>
      </c>
      <c r="BO45" s="6">
        <f t="shared" si="10"/>
        <v>0.17110393227135998</v>
      </c>
      <c r="BP45" s="5" t="s">
        <v>119</v>
      </c>
      <c r="BQ45" s="7">
        <v>3.7322045226690399</v>
      </c>
      <c r="BR45" s="45">
        <v>0.83435446140136005</v>
      </c>
      <c r="BS45" s="14">
        <v>8</v>
      </c>
      <c r="BT45" s="6">
        <f t="shared" si="11"/>
        <v>0.29498884878507559</v>
      </c>
      <c r="BU45" s="21" t="s">
        <v>119</v>
      </c>
      <c r="BV45" s="20">
        <v>1</v>
      </c>
      <c r="BW45" s="20" t="s">
        <v>362</v>
      </c>
      <c r="BX45" s="20" t="s">
        <v>363</v>
      </c>
      <c r="BY45" s="20" t="s">
        <v>119</v>
      </c>
      <c r="BZ45" s="24" t="s">
        <v>364</v>
      </c>
    </row>
    <row r="46" spans="2:78" ht="15" customHeight="1" x14ac:dyDescent="0.35">
      <c r="B46" s="20" t="s">
        <v>324</v>
      </c>
      <c r="C46" s="20" t="s">
        <v>370</v>
      </c>
      <c r="D46" s="20">
        <v>2011</v>
      </c>
      <c r="E46" s="20" t="s">
        <v>143</v>
      </c>
      <c r="F46" s="20" t="s">
        <v>152</v>
      </c>
      <c r="G46" s="20" t="s">
        <v>153</v>
      </c>
      <c r="H46" s="20" t="s">
        <v>150</v>
      </c>
      <c r="I46" s="20" t="s">
        <v>307</v>
      </c>
      <c r="J46" s="24" t="s">
        <v>151</v>
      </c>
      <c r="K46" s="24">
        <v>70</v>
      </c>
      <c r="L46" s="24">
        <v>2555</v>
      </c>
      <c r="M46" s="24">
        <v>5110</v>
      </c>
      <c r="N46" s="24" t="s">
        <v>119</v>
      </c>
      <c r="O46" s="24" t="s">
        <v>34</v>
      </c>
      <c r="P46" s="20" t="s">
        <v>32</v>
      </c>
      <c r="Q46" s="20" t="s">
        <v>33</v>
      </c>
      <c r="R46" s="20" t="s">
        <v>119</v>
      </c>
      <c r="S46" s="20" t="s">
        <v>119</v>
      </c>
      <c r="T46" s="20" t="s">
        <v>119</v>
      </c>
      <c r="U46" s="20" t="s">
        <v>119</v>
      </c>
      <c r="V46" s="20" t="s">
        <v>119</v>
      </c>
      <c r="W46" s="20" t="s">
        <v>119</v>
      </c>
      <c r="X46" s="20">
        <v>74</v>
      </c>
      <c r="Y46" s="20" t="s">
        <v>34</v>
      </c>
      <c r="Z46" s="20">
        <v>74</v>
      </c>
      <c r="AA46" s="20" t="s">
        <v>34</v>
      </c>
      <c r="AB46" s="30" t="s">
        <v>119</v>
      </c>
      <c r="AC46" s="30" t="s">
        <v>119</v>
      </c>
      <c r="AD46" s="30" t="s">
        <v>119</v>
      </c>
      <c r="AE46" s="30" t="s">
        <v>119</v>
      </c>
      <c r="AF46" s="30" t="s">
        <v>119</v>
      </c>
      <c r="AG46" s="30">
        <v>2.8962818003913801E-2</v>
      </c>
      <c r="AH46" s="30">
        <v>2.8962818003913801E-2</v>
      </c>
      <c r="AI46" s="20" t="s">
        <v>119</v>
      </c>
      <c r="AJ46" s="20">
        <v>0</v>
      </c>
      <c r="AK46" s="20" t="s">
        <v>34</v>
      </c>
      <c r="AL46" s="20">
        <v>0</v>
      </c>
      <c r="AM46" s="20" t="s">
        <v>37</v>
      </c>
      <c r="AN46" s="20" t="s">
        <v>119</v>
      </c>
      <c r="AO46" s="20" t="s">
        <v>119</v>
      </c>
      <c r="AP46" s="20" t="s">
        <v>38</v>
      </c>
      <c r="AQ46" s="20" t="s">
        <v>119</v>
      </c>
      <c r="AR46" s="20" t="s">
        <v>119</v>
      </c>
      <c r="AS46" s="20">
        <v>4</v>
      </c>
      <c r="AT46" s="20" t="s">
        <v>58</v>
      </c>
      <c r="AU46" s="20" t="s">
        <v>298</v>
      </c>
      <c r="AV46" s="20" t="s">
        <v>119</v>
      </c>
      <c r="AW46" s="20" t="s">
        <v>229</v>
      </c>
      <c r="AX46" s="55">
        <v>1</v>
      </c>
      <c r="AY46" s="20" t="s">
        <v>119</v>
      </c>
      <c r="AZ46" s="20" t="s">
        <v>119</v>
      </c>
      <c r="BA46" s="20" t="s">
        <v>119</v>
      </c>
      <c r="BB46" s="20" t="s">
        <v>97</v>
      </c>
      <c r="BC46" s="20" t="s">
        <v>98</v>
      </c>
      <c r="BD46" s="19" t="s">
        <v>321</v>
      </c>
      <c r="BE46" s="20" t="s">
        <v>300</v>
      </c>
      <c r="BF46" s="19" t="s">
        <v>319</v>
      </c>
      <c r="BG46" s="20" t="s">
        <v>128</v>
      </c>
      <c r="BH46" s="20">
        <v>29</v>
      </c>
      <c r="BI46" s="20">
        <v>20</v>
      </c>
      <c r="BJ46" s="1">
        <v>-9</v>
      </c>
      <c r="BK46" s="1" t="s">
        <v>262</v>
      </c>
      <c r="BL46" s="7">
        <v>3.8492712406683198</v>
      </c>
      <c r="BM46" s="45">
        <v>0.61855670103091998</v>
      </c>
      <c r="BN46" s="1">
        <v>9</v>
      </c>
      <c r="BO46" s="6">
        <f t="shared" si="10"/>
        <v>0.20618556701030666</v>
      </c>
      <c r="BP46" s="5" t="s">
        <v>119</v>
      </c>
      <c r="BQ46" s="7">
        <v>5.3789548524706596</v>
      </c>
      <c r="BR46" s="45">
        <v>1.6487735513686506</v>
      </c>
      <c r="BS46" s="14">
        <v>8</v>
      </c>
      <c r="BT46" s="6">
        <f t="shared" si="11"/>
        <v>0.58292947940689954</v>
      </c>
      <c r="BU46" s="21" t="s">
        <v>119</v>
      </c>
      <c r="BV46" s="20">
        <v>1</v>
      </c>
      <c r="BW46" s="20" t="s">
        <v>362</v>
      </c>
      <c r="BX46" s="20" t="s">
        <v>363</v>
      </c>
      <c r="BY46" s="20" t="s">
        <v>119</v>
      </c>
      <c r="BZ46" s="24" t="s">
        <v>364</v>
      </c>
    </row>
    <row r="47" spans="2:78" ht="15" customHeight="1" x14ac:dyDescent="0.35">
      <c r="B47" s="20" t="s">
        <v>324</v>
      </c>
      <c r="C47" s="20" t="s">
        <v>370</v>
      </c>
      <c r="D47" s="20">
        <v>2011</v>
      </c>
      <c r="E47" s="20" t="s">
        <v>143</v>
      </c>
      <c r="F47" s="20" t="s">
        <v>152</v>
      </c>
      <c r="G47" s="20" t="s">
        <v>153</v>
      </c>
      <c r="H47" s="20" t="s">
        <v>150</v>
      </c>
      <c r="I47" s="20" t="s">
        <v>307</v>
      </c>
      <c r="J47" s="24" t="s">
        <v>151</v>
      </c>
      <c r="K47" s="24">
        <v>70</v>
      </c>
      <c r="L47" s="24">
        <v>2555</v>
      </c>
      <c r="M47" s="24">
        <v>5110</v>
      </c>
      <c r="N47" s="24" t="s">
        <v>119</v>
      </c>
      <c r="O47" s="24" t="s">
        <v>34</v>
      </c>
      <c r="P47" s="20" t="s">
        <v>32</v>
      </c>
      <c r="Q47" s="20" t="s">
        <v>33</v>
      </c>
      <c r="R47" s="20" t="s">
        <v>119</v>
      </c>
      <c r="S47" s="20" t="s">
        <v>119</v>
      </c>
      <c r="T47" s="20" t="s">
        <v>119</v>
      </c>
      <c r="U47" s="20" t="s">
        <v>119</v>
      </c>
      <c r="V47" s="20" t="s">
        <v>119</v>
      </c>
      <c r="W47" s="20" t="s">
        <v>119</v>
      </c>
      <c r="X47" s="20">
        <v>74</v>
      </c>
      <c r="Y47" s="20" t="s">
        <v>34</v>
      </c>
      <c r="Z47" s="20">
        <v>74</v>
      </c>
      <c r="AA47" s="20" t="s">
        <v>34</v>
      </c>
      <c r="AB47" s="30" t="s">
        <v>119</v>
      </c>
      <c r="AC47" s="30" t="s">
        <v>119</v>
      </c>
      <c r="AD47" s="30" t="s">
        <v>119</v>
      </c>
      <c r="AE47" s="30" t="s">
        <v>119</v>
      </c>
      <c r="AF47" s="30" t="s">
        <v>119</v>
      </c>
      <c r="AG47" s="30">
        <v>2.8962818003913801E-2</v>
      </c>
      <c r="AH47" s="30">
        <v>2.8962818003913801E-2</v>
      </c>
      <c r="AI47" s="20" t="s">
        <v>119</v>
      </c>
      <c r="AJ47" s="20">
        <v>0</v>
      </c>
      <c r="AK47" s="20" t="s">
        <v>34</v>
      </c>
      <c r="AL47" s="20">
        <v>0</v>
      </c>
      <c r="AM47" s="20" t="s">
        <v>37</v>
      </c>
      <c r="AN47" s="20" t="s">
        <v>119</v>
      </c>
      <c r="AO47" s="20" t="s">
        <v>119</v>
      </c>
      <c r="AP47" s="20" t="s">
        <v>38</v>
      </c>
      <c r="AQ47" s="20" t="s">
        <v>119</v>
      </c>
      <c r="AR47" s="20" t="s">
        <v>119</v>
      </c>
      <c r="AS47" s="20">
        <v>4</v>
      </c>
      <c r="AT47" s="20" t="s">
        <v>57</v>
      </c>
      <c r="AU47" s="20" t="s">
        <v>57</v>
      </c>
      <c r="AV47" s="20" t="s">
        <v>119</v>
      </c>
      <c r="AW47" s="20" t="s">
        <v>230</v>
      </c>
      <c r="AX47" s="55">
        <v>0</v>
      </c>
      <c r="AY47" s="20" t="s">
        <v>119</v>
      </c>
      <c r="AZ47" s="20" t="s">
        <v>119</v>
      </c>
      <c r="BA47" s="20" t="s">
        <v>119</v>
      </c>
      <c r="BB47" s="20" t="s">
        <v>170</v>
      </c>
      <c r="BC47" s="20" t="s">
        <v>171</v>
      </c>
      <c r="BD47" s="19" t="s">
        <v>318</v>
      </c>
      <c r="BE47" s="20" t="s">
        <v>300</v>
      </c>
      <c r="BF47" s="19" t="s">
        <v>319</v>
      </c>
      <c r="BG47" s="20" t="s">
        <v>132</v>
      </c>
      <c r="BH47" s="20">
        <v>29</v>
      </c>
      <c r="BI47" s="20">
        <v>20</v>
      </c>
      <c r="BJ47" s="1">
        <v>-9</v>
      </c>
      <c r="BK47" s="1" t="s">
        <v>262</v>
      </c>
      <c r="BL47" s="7">
        <v>49.827628234146999</v>
      </c>
      <c r="BM47" s="45">
        <v>10.304001114322503</v>
      </c>
      <c r="BN47" s="1">
        <v>9</v>
      </c>
      <c r="BO47" s="6">
        <f t="shared" si="10"/>
        <v>3.4346670381075008</v>
      </c>
      <c r="BP47" s="5" t="s">
        <v>119</v>
      </c>
      <c r="BQ47" s="7">
        <v>53.779990946129402</v>
      </c>
      <c r="BR47" s="45">
        <v>6.1844900233311009</v>
      </c>
      <c r="BS47" s="14">
        <v>8</v>
      </c>
      <c r="BT47" s="6">
        <f t="shared" si="11"/>
        <v>2.1865474168389851</v>
      </c>
      <c r="BU47" s="21" t="s">
        <v>119</v>
      </c>
      <c r="BV47" s="20">
        <v>1</v>
      </c>
      <c r="BW47" s="20" t="s">
        <v>362</v>
      </c>
      <c r="BX47" s="20" t="s">
        <v>363</v>
      </c>
      <c r="BY47" s="20" t="s">
        <v>119</v>
      </c>
      <c r="BZ47" s="24" t="s">
        <v>364</v>
      </c>
    </row>
    <row r="48" spans="2:78" ht="15" customHeight="1" x14ac:dyDescent="0.35">
      <c r="B48" s="20" t="s">
        <v>324</v>
      </c>
      <c r="C48" s="20" t="s">
        <v>370</v>
      </c>
      <c r="D48" s="20">
        <v>2011</v>
      </c>
      <c r="E48" s="20" t="s">
        <v>143</v>
      </c>
      <c r="F48" s="20" t="s">
        <v>152</v>
      </c>
      <c r="G48" s="20" t="s">
        <v>153</v>
      </c>
      <c r="H48" s="20" t="s">
        <v>150</v>
      </c>
      <c r="I48" s="20" t="s">
        <v>307</v>
      </c>
      <c r="J48" s="24" t="s">
        <v>151</v>
      </c>
      <c r="K48" s="24">
        <v>70</v>
      </c>
      <c r="L48" s="24">
        <v>2555</v>
      </c>
      <c r="M48" s="24">
        <v>5110</v>
      </c>
      <c r="N48" s="24" t="s">
        <v>119</v>
      </c>
      <c r="O48" s="24" t="s">
        <v>34</v>
      </c>
      <c r="P48" s="20" t="s">
        <v>32</v>
      </c>
      <c r="Q48" s="20" t="s">
        <v>33</v>
      </c>
      <c r="R48" s="20" t="s">
        <v>119</v>
      </c>
      <c r="S48" s="20" t="s">
        <v>119</v>
      </c>
      <c r="T48" s="20" t="s">
        <v>119</v>
      </c>
      <c r="U48" s="20" t="s">
        <v>119</v>
      </c>
      <c r="V48" s="20" t="s">
        <v>119</v>
      </c>
      <c r="W48" s="20" t="s">
        <v>119</v>
      </c>
      <c r="X48" s="20">
        <v>74</v>
      </c>
      <c r="Y48" s="20" t="s">
        <v>34</v>
      </c>
      <c r="Z48" s="20">
        <v>74</v>
      </c>
      <c r="AA48" s="20" t="s">
        <v>34</v>
      </c>
      <c r="AB48" s="30" t="s">
        <v>119</v>
      </c>
      <c r="AC48" s="30" t="s">
        <v>119</v>
      </c>
      <c r="AD48" s="30" t="s">
        <v>119</v>
      </c>
      <c r="AE48" s="30" t="s">
        <v>119</v>
      </c>
      <c r="AF48" s="30" t="s">
        <v>119</v>
      </c>
      <c r="AG48" s="30">
        <v>2.8962818003913801E-2</v>
      </c>
      <c r="AH48" s="30">
        <v>2.8962818003913801E-2</v>
      </c>
      <c r="AI48" s="20" t="s">
        <v>119</v>
      </c>
      <c r="AJ48" s="20">
        <v>0</v>
      </c>
      <c r="AK48" s="20" t="s">
        <v>34</v>
      </c>
      <c r="AL48" s="20">
        <v>0</v>
      </c>
      <c r="AM48" s="20" t="s">
        <v>37</v>
      </c>
      <c r="AN48" s="20" t="s">
        <v>119</v>
      </c>
      <c r="AO48" s="20" t="s">
        <v>119</v>
      </c>
      <c r="AP48" s="20" t="s">
        <v>38</v>
      </c>
      <c r="AQ48" s="20" t="s">
        <v>119</v>
      </c>
      <c r="AR48" s="20" t="s">
        <v>119</v>
      </c>
      <c r="AS48" s="20">
        <v>4</v>
      </c>
      <c r="AT48" s="20" t="s">
        <v>57</v>
      </c>
      <c r="AU48" s="20" t="s">
        <v>57</v>
      </c>
      <c r="AV48" s="20" t="s">
        <v>119</v>
      </c>
      <c r="AW48" s="20" t="s">
        <v>229</v>
      </c>
      <c r="AX48" s="55">
        <v>1</v>
      </c>
      <c r="AY48" s="20" t="s">
        <v>119</v>
      </c>
      <c r="AZ48" s="20" t="s">
        <v>119</v>
      </c>
      <c r="BA48" s="20" t="s">
        <v>119</v>
      </c>
      <c r="BB48" s="20" t="s">
        <v>97</v>
      </c>
      <c r="BC48" s="20" t="s">
        <v>139</v>
      </c>
      <c r="BD48" s="19" t="s">
        <v>320</v>
      </c>
      <c r="BE48" s="20" t="s">
        <v>300</v>
      </c>
      <c r="BF48" s="19" t="s">
        <v>319</v>
      </c>
      <c r="BG48" s="20" t="s">
        <v>132</v>
      </c>
      <c r="BH48" s="20">
        <v>29</v>
      </c>
      <c r="BI48" s="20">
        <v>20</v>
      </c>
      <c r="BJ48" s="1">
        <v>-9</v>
      </c>
      <c r="BK48" s="1" t="s">
        <v>262</v>
      </c>
      <c r="BL48" s="7">
        <v>3.5909694555112801</v>
      </c>
      <c r="BM48" s="45">
        <v>0.46246387001015998</v>
      </c>
      <c r="BN48" s="1">
        <v>9</v>
      </c>
      <c r="BO48" s="6">
        <f t="shared" si="10"/>
        <v>0.15415462333672</v>
      </c>
      <c r="BP48" s="5" t="s">
        <v>119</v>
      </c>
      <c r="BQ48" s="7">
        <v>5.5183188813374002</v>
      </c>
      <c r="BR48" s="45">
        <v>0.78618857901726003</v>
      </c>
      <c r="BS48" s="14">
        <v>8</v>
      </c>
      <c r="BT48" s="6">
        <f t="shared" si="11"/>
        <v>0.27795963775726018</v>
      </c>
      <c r="BU48" s="21" t="s">
        <v>119</v>
      </c>
      <c r="BV48" s="20">
        <v>1</v>
      </c>
      <c r="BW48" s="20" t="s">
        <v>362</v>
      </c>
      <c r="BX48" s="20" t="s">
        <v>363</v>
      </c>
      <c r="BY48" s="20" t="s">
        <v>119</v>
      </c>
      <c r="BZ48" s="24" t="s">
        <v>364</v>
      </c>
    </row>
    <row r="49" spans="2:78" ht="15" customHeight="1" x14ac:dyDescent="0.35">
      <c r="B49" s="20" t="s">
        <v>324</v>
      </c>
      <c r="C49" s="20" t="s">
        <v>370</v>
      </c>
      <c r="D49" s="20">
        <v>2011</v>
      </c>
      <c r="E49" s="20" t="s">
        <v>143</v>
      </c>
      <c r="F49" s="20" t="s">
        <v>152</v>
      </c>
      <c r="G49" s="20" t="s">
        <v>153</v>
      </c>
      <c r="H49" s="20" t="s">
        <v>150</v>
      </c>
      <c r="I49" s="20" t="s">
        <v>307</v>
      </c>
      <c r="J49" s="24" t="s">
        <v>151</v>
      </c>
      <c r="K49" s="24">
        <v>70</v>
      </c>
      <c r="L49" s="24">
        <v>2555</v>
      </c>
      <c r="M49" s="24">
        <v>5110</v>
      </c>
      <c r="N49" s="24" t="s">
        <v>119</v>
      </c>
      <c r="O49" s="24" t="s">
        <v>34</v>
      </c>
      <c r="P49" s="20" t="s">
        <v>32</v>
      </c>
      <c r="Q49" s="20" t="s">
        <v>33</v>
      </c>
      <c r="R49" s="20" t="s">
        <v>119</v>
      </c>
      <c r="S49" s="20" t="s">
        <v>119</v>
      </c>
      <c r="T49" s="20" t="s">
        <v>119</v>
      </c>
      <c r="U49" s="20" t="s">
        <v>119</v>
      </c>
      <c r="V49" s="20" t="s">
        <v>119</v>
      </c>
      <c r="W49" s="20" t="s">
        <v>119</v>
      </c>
      <c r="X49" s="20">
        <v>74</v>
      </c>
      <c r="Y49" s="20" t="s">
        <v>34</v>
      </c>
      <c r="Z49" s="20">
        <v>74</v>
      </c>
      <c r="AA49" s="20" t="s">
        <v>34</v>
      </c>
      <c r="AB49" s="30" t="s">
        <v>119</v>
      </c>
      <c r="AC49" s="30" t="s">
        <v>119</v>
      </c>
      <c r="AD49" s="30" t="s">
        <v>119</v>
      </c>
      <c r="AE49" s="30" t="s">
        <v>119</v>
      </c>
      <c r="AF49" s="30" t="s">
        <v>119</v>
      </c>
      <c r="AG49" s="30">
        <v>2.8962818003913801E-2</v>
      </c>
      <c r="AH49" s="30">
        <v>2.8962818003913801E-2</v>
      </c>
      <c r="AI49" s="20" t="s">
        <v>119</v>
      </c>
      <c r="AJ49" s="20">
        <v>0</v>
      </c>
      <c r="AK49" s="20" t="s">
        <v>34</v>
      </c>
      <c r="AL49" s="20">
        <v>0</v>
      </c>
      <c r="AM49" s="20" t="s">
        <v>37</v>
      </c>
      <c r="AN49" s="20" t="s">
        <v>119</v>
      </c>
      <c r="AO49" s="20" t="s">
        <v>119</v>
      </c>
      <c r="AP49" s="20" t="s">
        <v>38</v>
      </c>
      <c r="AQ49" s="20" t="s">
        <v>119</v>
      </c>
      <c r="AR49" s="20" t="s">
        <v>119</v>
      </c>
      <c r="AS49" s="20">
        <v>4</v>
      </c>
      <c r="AT49" s="20" t="s">
        <v>57</v>
      </c>
      <c r="AU49" s="20" t="s">
        <v>57</v>
      </c>
      <c r="AV49" s="20" t="s">
        <v>119</v>
      </c>
      <c r="AW49" s="20" t="s">
        <v>229</v>
      </c>
      <c r="AX49" s="55">
        <v>1</v>
      </c>
      <c r="AY49" s="20" t="s">
        <v>119</v>
      </c>
      <c r="AZ49" s="20" t="s">
        <v>119</v>
      </c>
      <c r="BA49" s="20" t="s">
        <v>119</v>
      </c>
      <c r="BB49" s="20" t="s">
        <v>97</v>
      </c>
      <c r="BC49" s="20" t="s">
        <v>98</v>
      </c>
      <c r="BD49" s="19" t="s">
        <v>321</v>
      </c>
      <c r="BE49" s="20" t="s">
        <v>300</v>
      </c>
      <c r="BF49" s="19" t="s">
        <v>319</v>
      </c>
      <c r="BG49" s="20" t="s">
        <v>132</v>
      </c>
      <c r="BH49" s="20">
        <v>29</v>
      </c>
      <c r="BI49" s="20">
        <v>20</v>
      </c>
      <c r="BJ49" s="1">
        <v>-9</v>
      </c>
      <c r="BK49" s="1" t="s">
        <v>262</v>
      </c>
      <c r="BL49" s="7">
        <v>11.8621803877493</v>
      </c>
      <c r="BM49" s="45">
        <v>1.2306827760607</v>
      </c>
      <c r="BN49" s="1">
        <v>9</v>
      </c>
      <c r="BO49" s="6">
        <f t="shared" si="10"/>
        <v>0.41022759202023334</v>
      </c>
      <c r="BP49" s="5" t="s">
        <v>119</v>
      </c>
      <c r="BQ49" s="5">
        <v>12.751475129999999</v>
      </c>
      <c r="BR49" s="45">
        <v>1.5376510255689999</v>
      </c>
      <c r="BS49" s="14">
        <v>8</v>
      </c>
      <c r="BT49" s="6">
        <f t="shared" si="11"/>
        <v>0.54364173363914459</v>
      </c>
      <c r="BU49" s="21" t="s">
        <v>119</v>
      </c>
      <c r="BV49" s="20">
        <v>1</v>
      </c>
      <c r="BW49" s="20" t="s">
        <v>362</v>
      </c>
      <c r="BX49" s="20" t="s">
        <v>363</v>
      </c>
      <c r="BY49" s="20" t="s">
        <v>119</v>
      </c>
      <c r="BZ49" s="24" t="s">
        <v>364</v>
      </c>
    </row>
    <row r="50" spans="2:78" ht="15" customHeight="1" x14ac:dyDescent="0.35">
      <c r="B50" s="20" t="s">
        <v>324</v>
      </c>
      <c r="C50" s="20" t="s">
        <v>370</v>
      </c>
      <c r="D50" s="20">
        <v>2011</v>
      </c>
      <c r="E50" s="20" t="s">
        <v>143</v>
      </c>
      <c r="F50" s="20" t="s">
        <v>152</v>
      </c>
      <c r="G50" s="20" t="s">
        <v>153</v>
      </c>
      <c r="H50" s="20" t="s">
        <v>150</v>
      </c>
      <c r="I50" s="20" t="s">
        <v>307</v>
      </c>
      <c r="J50" s="24" t="s">
        <v>151</v>
      </c>
      <c r="K50" s="24">
        <v>70</v>
      </c>
      <c r="L50" s="24">
        <v>2555</v>
      </c>
      <c r="M50" s="24">
        <v>5110</v>
      </c>
      <c r="N50" s="24" t="s">
        <v>119</v>
      </c>
      <c r="O50" s="24" t="s">
        <v>34</v>
      </c>
      <c r="P50" s="20" t="s">
        <v>32</v>
      </c>
      <c r="Q50" s="20" t="s">
        <v>33</v>
      </c>
      <c r="R50" s="20" t="s">
        <v>119</v>
      </c>
      <c r="S50" s="20" t="s">
        <v>119</v>
      </c>
      <c r="T50" s="20" t="s">
        <v>119</v>
      </c>
      <c r="U50" s="20" t="s">
        <v>119</v>
      </c>
      <c r="V50" s="20" t="s">
        <v>119</v>
      </c>
      <c r="W50" s="20" t="s">
        <v>119</v>
      </c>
      <c r="X50" s="20">
        <v>74</v>
      </c>
      <c r="Y50" s="20" t="s">
        <v>34</v>
      </c>
      <c r="Z50" s="20">
        <v>74</v>
      </c>
      <c r="AA50" s="20" t="s">
        <v>34</v>
      </c>
      <c r="AB50" s="30" t="s">
        <v>119</v>
      </c>
      <c r="AC50" s="30" t="s">
        <v>119</v>
      </c>
      <c r="AD50" s="30" t="s">
        <v>119</v>
      </c>
      <c r="AE50" s="30" t="s">
        <v>119</v>
      </c>
      <c r="AF50" s="30" t="s">
        <v>119</v>
      </c>
      <c r="AG50" s="30">
        <v>2.8962818003913801E-2</v>
      </c>
      <c r="AH50" s="30">
        <v>2.8962818003913801E-2</v>
      </c>
      <c r="AI50" s="20" t="s">
        <v>119</v>
      </c>
      <c r="AJ50" s="20">
        <v>0</v>
      </c>
      <c r="AK50" s="20" t="s">
        <v>34</v>
      </c>
      <c r="AL50" s="20">
        <v>0</v>
      </c>
      <c r="AM50" s="20" t="s">
        <v>37</v>
      </c>
      <c r="AN50" s="20" t="s">
        <v>119</v>
      </c>
      <c r="AO50" s="20" t="s">
        <v>119</v>
      </c>
      <c r="AP50" s="20" t="s">
        <v>38</v>
      </c>
      <c r="AQ50" s="20" t="s">
        <v>119</v>
      </c>
      <c r="AR50" s="20" t="s">
        <v>119</v>
      </c>
      <c r="AS50" s="20">
        <v>4</v>
      </c>
      <c r="AT50" s="20" t="s">
        <v>86</v>
      </c>
      <c r="AU50" s="20" t="s">
        <v>86</v>
      </c>
      <c r="AV50" s="20" t="s">
        <v>119</v>
      </c>
      <c r="AW50" s="20" t="s">
        <v>230</v>
      </c>
      <c r="AX50" s="55">
        <v>0</v>
      </c>
      <c r="AY50" s="20" t="s">
        <v>119</v>
      </c>
      <c r="AZ50" s="20" t="s">
        <v>119</v>
      </c>
      <c r="BA50" s="20" t="s">
        <v>119</v>
      </c>
      <c r="BB50" s="20" t="s">
        <v>170</v>
      </c>
      <c r="BC50" s="20" t="s">
        <v>171</v>
      </c>
      <c r="BD50" s="19" t="s">
        <v>318</v>
      </c>
      <c r="BE50" s="20" t="s">
        <v>300</v>
      </c>
      <c r="BF50" s="19" t="s">
        <v>319</v>
      </c>
      <c r="BG50" s="20" t="s">
        <v>88</v>
      </c>
      <c r="BH50" s="20">
        <v>29</v>
      </c>
      <c r="BI50" s="20">
        <v>20</v>
      </c>
      <c r="BJ50" s="1">
        <v>-9</v>
      </c>
      <c r="BK50" s="1" t="s">
        <v>262</v>
      </c>
      <c r="BL50" s="7">
        <v>102.126171937072</v>
      </c>
      <c r="BM50" s="45">
        <v>14.778325123153</v>
      </c>
      <c r="BN50" s="1">
        <v>9</v>
      </c>
      <c r="BO50" s="6">
        <f t="shared" si="10"/>
        <v>4.9261083743843335</v>
      </c>
      <c r="BP50" s="5" t="s">
        <v>119</v>
      </c>
      <c r="BQ50" s="7">
        <v>91.937072938185196</v>
      </c>
      <c r="BR50" s="6">
        <v>14.791037660000001</v>
      </c>
      <c r="BS50" s="14">
        <v>8</v>
      </c>
      <c r="BT50" s="6">
        <f t="shared" si="11"/>
        <v>5.2294215150858019</v>
      </c>
      <c r="BU50" s="21" t="s">
        <v>119</v>
      </c>
      <c r="BV50" s="20">
        <v>1</v>
      </c>
      <c r="BW50" s="20" t="s">
        <v>362</v>
      </c>
      <c r="BX50" s="20" t="s">
        <v>363</v>
      </c>
      <c r="BY50" s="20" t="s">
        <v>119</v>
      </c>
      <c r="BZ50" s="24" t="s">
        <v>364</v>
      </c>
    </row>
    <row r="51" spans="2:78" ht="15" customHeight="1" x14ac:dyDescent="0.35">
      <c r="B51" s="20" t="s">
        <v>324</v>
      </c>
      <c r="C51" s="20" t="s">
        <v>370</v>
      </c>
      <c r="D51" s="20">
        <v>2011</v>
      </c>
      <c r="E51" s="20" t="s">
        <v>143</v>
      </c>
      <c r="F51" s="20" t="s">
        <v>152</v>
      </c>
      <c r="G51" s="20" t="s">
        <v>153</v>
      </c>
      <c r="H51" s="20" t="s">
        <v>150</v>
      </c>
      <c r="I51" s="20" t="s">
        <v>307</v>
      </c>
      <c r="J51" s="24" t="s">
        <v>151</v>
      </c>
      <c r="K51" s="24">
        <v>70</v>
      </c>
      <c r="L51" s="24">
        <v>2555</v>
      </c>
      <c r="M51" s="24">
        <v>5110</v>
      </c>
      <c r="N51" s="24" t="s">
        <v>119</v>
      </c>
      <c r="O51" s="24" t="s">
        <v>34</v>
      </c>
      <c r="P51" s="20" t="s">
        <v>32</v>
      </c>
      <c r="Q51" s="20" t="s">
        <v>33</v>
      </c>
      <c r="R51" s="20" t="s">
        <v>119</v>
      </c>
      <c r="S51" s="20" t="s">
        <v>119</v>
      </c>
      <c r="T51" s="20" t="s">
        <v>119</v>
      </c>
      <c r="U51" s="20" t="s">
        <v>119</v>
      </c>
      <c r="V51" s="20" t="s">
        <v>119</v>
      </c>
      <c r="W51" s="20" t="s">
        <v>119</v>
      </c>
      <c r="X51" s="20">
        <v>74</v>
      </c>
      <c r="Y51" s="20" t="s">
        <v>34</v>
      </c>
      <c r="Z51" s="20">
        <v>74</v>
      </c>
      <c r="AA51" s="20" t="s">
        <v>34</v>
      </c>
      <c r="AB51" s="30" t="s">
        <v>119</v>
      </c>
      <c r="AC51" s="30" t="s">
        <v>119</v>
      </c>
      <c r="AD51" s="30" t="s">
        <v>119</v>
      </c>
      <c r="AE51" s="30" t="s">
        <v>119</v>
      </c>
      <c r="AF51" s="30" t="s">
        <v>119</v>
      </c>
      <c r="AG51" s="30">
        <v>2.8962818003913801E-2</v>
      </c>
      <c r="AH51" s="30">
        <v>2.8962818003913801E-2</v>
      </c>
      <c r="AI51" s="20" t="s">
        <v>119</v>
      </c>
      <c r="AJ51" s="20">
        <v>0</v>
      </c>
      <c r="AK51" s="20" t="s">
        <v>34</v>
      </c>
      <c r="AL51" s="20">
        <v>0</v>
      </c>
      <c r="AM51" s="20" t="s">
        <v>37</v>
      </c>
      <c r="AN51" s="20" t="s">
        <v>119</v>
      </c>
      <c r="AO51" s="20" t="s">
        <v>119</v>
      </c>
      <c r="AP51" s="20" t="s">
        <v>38</v>
      </c>
      <c r="AQ51" s="20" t="s">
        <v>119</v>
      </c>
      <c r="AR51" s="20" t="s">
        <v>119</v>
      </c>
      <c r="AS51" s="20">
        <v>4</v>
      </c>
      <c r="AT51" s="20" t="s">
        <v>86</v>
      </c>
      <c r="AU51" s="20" t="s">
        <v>86</v>
      </c>
      <c r="AV51" s="20" t="s">
        <v>119</v>
      </c>
      <c r="AW51" s="20" t="s">
        <v>229</v>
      </c>
      <c r="AX51" s="55">
        <v>1</v>
      </c>
      <c r="AY51" s="20" t="s">
        <v>119</v>
      </c>
      <c r="AZ51" s="20" t="s">
        <v>119</v>
      </c>
      <c r="BA51" s="20" t="s">
        <v>119</v>
      </c>
      <c r="BB51" s="20" t="s">
        <v>97</v>
      </c>
      <c r="BC51" s="20" t="s">
        <v>139</v>
      </c>
      <c r="BD51" s="19" t="s">
        <v>320</v>
      </c>
      <c r="BE51" s="20" t="s">
        <v>300</v>
      </c>
      <c r="BF51" s="19" t="s">
        <v>319</v>
      </c>
      <c r="BG51" s="20" t="s">
        <v>88</v>
      </c>
      <c r="BH51" s="20">
        <v>29</v>
      </c>
      <c r="BI51" s="20">
        <v>20</v>
      </c>
      <c r="BJ51" s="1">
        <v>-9</v>
      </c>
      <c r="BK51" s="1" t="s">
        <v>262</v>
      </c>
      <c r="BL51" s="7">
        <v>27.3203927541397</v>
      </c>
      <c r="BM51" s="45">
        <v>4.7286042969636997</v>
      </c>
      <c r="BN51" s="1">
        <v>9</v>
      </c>
      <c r="BO51" s="6">
        <f t="shared" si="10"/>
        <v>1.5762014323212332</v>
      </c>
      <c r="BP51" s="5" t="s">
        <v>119</v>
      </c>
      <c r="BQ51" s="7">
        <v>23.512103438218901</v>
      </c>
      <c r="BR51" s="45">
        <v>3.1511066463592989</v>
      </c>
      <c r="BS51" s="14">
        <v>8</v>
      </c>
      <c r="BT51" s="6">
        <f t="shared" si="11"/>
        <v>1.11408443894133</v>
      </c>
      <c r="BU51" s="21" t="s">
        <v>119</v>
      </c>
      <c r="BV51" s="20">
        <v>1</v>
      </c>
      <c r="BW51" s="20" t="s">
        <v>362</v>
      </c>
      <c r="BX51" s="20" t="s">
        <v>363</v>
      </c>
      <c r="BY51" s="20" t="s">
        <v>119</v>
      </c>
      <c r="BZ51" s="24" t="s">
        <v>364</v>
      </c>
    </row>
    <row r="52" spans="2:78" ht="15" customHeight="1" x14ac:dyDescent="0.35">
      <c r="B52" s="20" t="s">
        <v>324</v>
      </c>
      <c r="C52" s="20" t="s">
        <v>370</v>
      </c>
      <c r="D52" s="20">
        <v>2011</v>
      </c>
      <c r="E52" s="20" t="s">
        <v>143</v>
      </c>
      <c r="F52" s="20" t="s">
        <v>152</v>
      </c>
      <c r="G52" s="20" t="s">
        <v>153</v>
      </c>
      <c r="H52" s="20" t="s">
        <v>150</v>
      </c>
      <c r="I52" s="20" t="s">
        <v>307</v>
      </c>
      <c r="J52" s="24" t="s">
        <v>151</v>
      </c>
      <c r="K52" s="24">
        <v>70</v>
      </c>
      <c r="L52" s="24">
        <v>2555</v>
      </c>
      <c r="M52" s="24">
        <v>5110</v>
      </c>
      <c r="N52" s="24" t="s">
        <v>119</v>
      </c>
      <c r="O52" s="24" t="s">
        <v>34</v>
      </c>
      <c r="P52" s="20" t="s">
        <v>32</v>
      </c>
      <c r="Q52" s="20" t="s">
        <v>33</v>
      </c>
      <c r="R52" s="20" t="s">
        <v>119</v>
      </c>
      <c r="S52" s="20" t="s">
        <v>119</v>
      </c>
      <c r="T52" s="20" t="s">
        <v>119</v>
      </c>
      <c r="U52" s="20" t="s">
        <v>119</v>
      </c>
      <c r="V52" s="20" t="s">
        <v>119</v>
      </c>
      <c r="W52" s="20" t="s">
        <v>119</v>
      </c>
      <c r="X52" s="20">
        <v>74</v>
      </c>
      <c r="Y52" s="20" t="s">
        <v>34</v>
      </c>
      <c r="Z52" s="20">
        <v>74</v>
      </c>
      <c r="AA52" s="20" t="s">
        <v>34</v>
      </c>
      <c r="AB52" s="30" t="s">
        <v>119</v>
      </c>
      <c r="AC52" s="30" t="s">
        <v>119</v>
      </c>
      <c r="AD52" s="30" t="s">
        <v>119</v>
      </c>
      <c r="AE52" s="30" t="s">
        <v>119</v>
      </c>
      <c r="AF52" s="30" t="s">
        <v>119</v>
      </c>
      <c r="AG52" s="30">
        <v>2.8962818003913801E-2</v>
      </c>
      <c r="AH52" s="30">
        <v>2.8962818003913801E-2</v>
      </c>
      <c r="AI52" s="20" t="s">
        <v>119</v>
      </c>
      <c r="AJ52" s="20">
        <v>0</v>
      </c>
      <c r="AK52" s="20" t="s">
        <v>34</v>
      </c>
      <c r="AL52" s="20">
        <v>0</v>
      </c>
      <c r="AM52" s="20" t="s">
        <v>37</v>
      </c>
      <c r="AN52" s="20" t="s">
        <v>119</v>
      </c>
      <c r="AO52" s="20" t="s">
        <v>119</v>
      </c>
      <c r="AP52" s="20" t="s">
        <v>38</v>
      </c>
      <c r="AQ52" s="20" t="s">
        <v>119</v>
      </c>
      <c r="AR52" s="20" t="s">
        <v>119</v>
      </c>
      <c r="AS52" s="20">
        <v>4</v>
      </c>
      <c r="AT52" s="20" t="s">
        <v>86</v>
      </c>
      <c r="AU52" s="20" t="s">
        <v>86</v>
      </c>
      <c r="AV52" s="20" t="s">
        <v>119</v>
      </c>
      <c r="AW52" s="20" t="s">
        <v>229</v>
      </c>
      <c r="AX52" s="55">
        <v>1</v>
      </c>
      <c r="AY52" s="20" t="s">
        <v>119</v>
      </c>
      <c r="AZ52" s="20" t="s">
        <v>119</v>
      </c>
      <c r="BA52" s="20" t="s">
        <v>119</v>
      </c>
      <c r="BB52" s="20" t="s">
        <v>97</v>
      </c>
      <c r="BC52" s="20" t="s">
        <v>98</v>
      </c>
      <c r="BD52" s="19" t="s">
        <v>321</v>
      </c>
      <c r="BE52" s="20" t="s">
        <v>300</v>
      </c>
      <c r="BF52" s="19" t="s">
        <v>319</v>
      </c>
      <c r="BG52" s="20" t="s">
        <v>88</v>
      </c>
      <c r="BH52" s="20">
        <v>29</v>
      </c>
      <c r="BI52" s="20">
        <v>20</v>
      </c>
      <c r="BJ52" s="1">
        <v>-9</v>
      </c>
      <c r="BK52" s="1" t="s">
        <v>262</v>
      </c>
      <c r="BL52" s="5">
        <v>28.9025544</v>
      </c>
      <c r="BM52" s="45">
        <v>4.6781717939515985</v>
      </c>
      <c r="BN52" s="1">
        <v>9</v>
      </c>
      <c r="BO52" s="6">
        <f t="shared" si="10"/>
        <v>1.5593905979838663</v>
      </c>
      <c r="BP52" s="5" t="s">
        <v>119</v>
      </c>
      <c r="BQ52" s="7">
        <v>32.434019508694</v>
      </c>
      <c r="BR52" s="6">
        <v>3.4466446999999998</v>
      </c>
      <c r="BS52" s="14">
        <v>8</v>
      </c>
      <c r="BT52" s="6">
        <f t="shared" si="11"/>
        <v>1.2185729198553368</v>
      </c>
      <c r="BU52" s="21" t="s">
        <v>119</v>
      </c>
      <c r="BV52" s="20">
        <v>1</v>
      </c>
      <c r="BW52" s="20" t="s">
        <v>362</v>
      </c>
      <c r="BX52" s="20" t="s">
        <v>363</v>
      </c>
      <c r="BY52" s="20" t="s">
        <v>119</v>
      </c>
      <c r="BZ52" s="24" t="s">
        <v>364</v>
      </c>
    </row>
    <row r="53" spans="2:78" ht="15" customHeight="1" x14ac:dyDescent="0.35">
      <c r="B53" s="20" t="s">
        <v>324</v>
      </c>
      <c r="C53" s="20" t="s">
        <v>370</v>
      </c>
      <c r="D53" s="20">
        <v>2011</v>
      </c>
      <c r="E53" s="20" t="s">
        <v>143</v>
      </c>
      <c r="F53" s="20" t="s">
        <v>152</v>
      </c>
      <c r="G53" s="20" t="s">
        <v>153</v>
      </c>
      <c r="H53" s="20" t="s">
        <v>150</v>
      </c>
      <c r="I53" s="20" t="s">
        <v>307</v>
      </c>
      <c r="J53" s="24" t="s">
        <v>151</v>
      </c>
      <c r="K53" s="24">
        <v>70</v>
      </c>
      <c r="L53" s="24">
        <v>2555</v>
      </c>
      <c r="M53" s="24">
        <v>5110</v>
      </c>
      <c r="N53" s="24" t="s">
        <v>119</v>
      </c>
      <c r="O53" s="24" t="s">
        <v>34</v>
      </c>
      <c r="P53" s="20" t="s">
        <v>32</v>
      </c>
      <c r="Q53" s="20" t="s">
        <v>33</v>
      </c>
      <c r="R53" s="20" t="s">
        <v>119</v>
      </c>
      <c r="S53" s="20" t="s">
        <v>119</v>
      </c>
      <c r="T53" s="20" t="s">
        <v>119</v>
      </c>
      <c r="U53" s="20" t="s">
        <v>119</v>
      </c>
      <c r="V53" s="20" t="s">
        <v>119</v>
      </c>
      <c r="W53" s="20" t="s">
        <v>119</v>
      </c>
      <c r="X53" s="20">
        <v>74</v>
      </c>
      <c r="Y53" s="20" t="s">
        <v>34</v>
      </c>
      <c r="Z53" s="20">
        <v>74</v>
      </c>
      <c r="AA53" s="20" t="s">
        <v>34</v>
      </c>
      <c r="AB53" s="30" t="s">
        <v>119</v>
      </c>
      <c r="AC53" s="30" t="s">
        <v>119</v>
      </c>
      <c r="AD53" s="30" t="s">
        <v>119</v>
      </c>
      <c r="AE53" s="30" t="s">
        <v>119</v>
      </c>
      <c r="AF53" s="30" t="s">
        <v>119</v>
      </c>
      <c r="AG53" s="30">
        <v>2.8962818003913801E-2</v>
      </c>
      <c r="AH53" s="30">
        <v>2.8962818003913801E-2</v>
      </c>
      <c r="AI53" s="20" t="s">
        <v>119</v>
      </c>
      <c r="AJ53" s="20">
        <v>0</v>
      </c>
      <c r="AK53" s="20" t="s">
        <v>34</v>
      </c>
      <c r="AL53" s="20">
        <v>0</v>
      </c>
      <c r="AM53" s="20" t="s">
        <v>37</v>
      </c>
      <c r="AN53" s="20" t="s">
        <v>119</v>
      </c>
      <c r="AO53" s="20" t="s">
        <v>119</v>
      </c>
      <c r="AP53" s="20" t="s">
        <v>38</v>
      </c>
      <c r="AQ53" s="20" t="s">
        <v>119</v>
      </c>
      <c r="AR53" s="20" t="s">
        <v>119</v>
      </c>
      <c r="AS53" s="20">
        <v>4</v>
      </c>
      <c r="AT53" s="20" t="s">
        <v>322</v>
      </c>
      <c r="AU53" s="20" t="s">
        <v>323</v>
      </c>
      <c r="AV53" s="20" t="s">
        <v>119</v>
      </c>
      <c r="AW53" s="20" t="s">
        <v>230</v>
      </c>
      <c r="AX53" s="55">
        <v>0</v>
      </c>
      <c r="AY53" s="20" t="s">
        <v>119</v>
      </c>
      <c r="AZ53" s="20" t="s">
        <v>119</v>
      </c>
      <c r="BA53" s="20" t="s">
        <v>119</v>
      </c>
      <c r="BB53" s="20" t="s">
        <v>170</v>
      </c>
      <c r="BC53" s="20" t="s">
        <v>171</v>
      </c>
      <c r="BD53" s="19" t="s">
        <v>318</v>
      </c>
      <c r="BE53" s="20" t="s">
        <v>300</v>
      </c>
      <c r="BF53" s="19" t="s">
        <v>319</v>
      </c>
      <c r="BG53" s="20" t="s">
        <v>89</v>
      </c>
      <c r="BH53" s="20">
        <v>29</v>
      </c>
      <c r="BI53" s="20">
        <v>20</v>
      </c>
      <c r="BJ53" s="1">
        <v>-9</v>
      </c>
      <c r="BK53" s="1" t="s">
        <v>262</v>
      </c>
      <c r="BL53" s="7">
        <v>50.434158348147101</v>
      </c>
      <c r="BM53" s="45">
        <v>10.768494461917101</v>
      </c>
      <c r="BN53" s="1">
        <v>9</v>
      </c>
      <c r="BO53" s="6">
        <f t="shared" si="10"/>
        <v>3.5894981539723667</v>
      </c>
      <c r="BP53" s="5" t="s">
        <v>119</v>
      </c>
      <c r="BQ53" s="7">
        <v>54.703951866539001</v>
      </c>
      <c r="BR53" s="45">
        <v>7.1789963079447006</v>
      </c>
      <c r="BS53" s="14">
        <v>8</v>
      </c>
      <c r="BT53" s="6">
        <f t="shared" si="11"/>
        <v>2.5381584857304427</v>
      </c>
      <c r="BU53" s="21" t="s">
        <v>119</v>
      </c>
      <c r="BV53" s="20">
        <v>1</v>
      </c>
      <c r="BW53" s="20" t="s">
        <v>362</v>
      </c>
      <c r="BX53" s="20" t="s">
        <v>363</v>
      </c>
      <c r="BY53" s="20" t="s">
        <v>119</v>
      </c>
      <c r="BZ53" s="24" t="s">
        <v>364</v>
      </c>
    </row>
    <row r="54" spans="2:78" ht="15" customHeight="1" x14ac:dyDescent="0.35">
      <c r="B54" s="20" t="s">
        <v>324</v>
      </c>
      <c r="C54" s="20" t="s">
        <v>370</v>
      </c>
      <c r="D54" s="20">
        <v>2011</v>
      </c>
      <c r="E54" s="20" t="s">
        <v>143</v>
      </c>
      <c r="F54" s="20" t="s">
        <v>152</v>
      </c>
      <c r="G54" s="20" t="s">
        <v>153</v>
      </c>
      <c r="H54" s="20" t="s">
        <v>150</v>
      </c>
      <c r="I54" s="20" t="s">
        <v>307</v>
      </c>
      <c r="J54" s="24" t="s">
        <v>151</v>
      </c>
      <c r="K54" s="24">
        <v>70</v>
      </c>
      <c r="L54" s="24">
        <v>2555</v>
      </c>
      <c r="M54" s="24">
        <v>5110</v>
      </c>
      <c r="N54" s="24" t="s">
        <v>119</v>
      </c>
      <c r="O54" s="24" t="s">
        <v>34</v>
      </c>
      <c r="P54" s="20" t="s">
        <v>32</v>
      </c>
      <c r="Q54" s="20" t="s">
        <v>33</v>
      </c>
      <c r="R54" s="20" t="s">
        <v>119</v>
      </c>
      <c r="S54" s="20" t="s">
        <v>119</v>
      </c>
      <c r="T54" s="20" t="s">
        <v>119</v>
      </c>
      <c r="U54" s="20" t="s">
        <v>119</v>
      </c>
      <c r="V54" s="20" t="s">
        <v>119</v>
      </c>
      <c r="W54" s="20" t="s">
        <v>119</v>
      </c>
      <c r="X54" s="20">
        <v>74</v>
      </c>
      <c r="Y54" s="20" t="s">
        <v>34</v>
      </c>
      <c r="Z54" s="20">
        <v>74</v>
      </c>
      <c r="AA54" s="20" t="s">
        <v>34</v>
      </c>
      <c r="AB54" s="30" t="s">
        <v>119</v>
      </c>
      <c r="AC54" s="30" t="s">
        <v>119</v>
      </c>
      <c r="AD54" s="30" t="s">
        <v>119</v>
      </c>
      <c r="AE54" s="30" t="s">
        <v>119</v>
      </c>
      <c r="AF54" s="30" t="s">
        <v>119</v>
      </c>
      <c r="AG54" s="30">
        <v>2.8962818003913801E-2</v>
      </c>
      <c r="AH54" s="30">
        <v>2.8962818003913801E-2</v>
      </c>
      <c r="AI54" s="20" t="s">
        <v>119</v>
      </c>
      <c r="AJ54" s="20">
        <v>0</v>
      </c>
      <c r="AK54" s="20" t="s">
        <v>34</v>
      </c>
      <c r="AL54" s="20">
        <v>0</v>
      </c>
      <c r="AM54" s="20" t="s">
        <v>37</v>
      </c>
      <c r="AN54" s="20" t="s">
        <v>119</v>
      </c>
      <c r="AO54" s="20" t="s">
        <v>119</v>
      </c>
      <c r="AP54" s="20" t="s">
        <v>38</v>
      </c>
      <c r="AQ54" s="20" t="s">
        <v>119</v>
      </c>
      <c r="AR54" s="20" t="s">
        <v>119</v>
      </c>
      <c r="AS54" s="20">
        <v>4</v>
      </c>
      <c r="AT54" s="20" t="s">
        <v>322</v>
      </c>
      <c r="AU54" s="20" t="s">
        <v>323</v>
      </c>
      <c r="AV54" s="20" t="s">
        <v>119</v>
      </c>
      <c r="AW54" s="20" t="s">
        <v>229</v>
      </c>
      <c r="AX54" s="55">
        <v>1</v>
      </c>
      <c r="AY54" s="20" t="s">
        <v>119</v>
      </c>
      <c r="AZ54" s="20" t="s">
        <v>119</v>
      </c>
      <c r="BA54" s="20" t="s">
        <v>119</v>
      </c>
      <c r="BB54" s="20" t="s">
        <v>97</v>
      </c>
      <c r="BC54" s="20" t="s">
        <v>139</v>
      </c>
      <c r="BD54" s="19" t="s">
        <v>320</v>
      </c>
      <c r="BE54" s="20" t="s">
        <v>300</v>
      </c>
      <c r="BF54" s="19" t="s">
        <v>319</v>
      </c>
      <c r="BG54" s="20" t="s">
        <v>89</v>
      </c>
      <c r="BH54" s="20">
        <v>29</v>
      </c>
      <c r="BI54" s="20">
        <v>20</v>
      </c>
      <c r="BJ54" s="1">
        <v>-9</v>
      </c>
      <c r="BK54" s="1" t="s">
        <v>262</v>
      </c>
      <c r="BL54" s="7">
        <v>3.53171820210392</v>
      </c>
      <c r="BM54" s="45">
        <v>0.41217723940069995</v>
      </c>
      <c r="BN54" s="1">
        <v>9</v>
      </c>
      <c r="BO54" s="6">
        <f t="shared" si="10"/>
        <v>0.13739241313356665</v>
      </c>
      <c r="BP54" s="5" t="s">
        <v>119</v>
      </c>
      <c r="BQ54" s="5">
        <v>5.3669110619999998</v>
      </c>
      <c r="BR54" s="45">
        <v>0.78131973222825035</v>
      </c>
      <c r="BS54" s="14">
        <v>8</v>
      </c>
      <c r="BT54" s="6">
        <f t="shared" si="11"/>
        <v>0.27623824046672663</v>
      </c>
      <c r="BU54" s="21" t="s">
        <v>119</v>
      </c>
      <c r="BV54" s="20">
        <v>1</v>
      </c>
      <c r="BW54" s="20" t="s">
        <v>362</v>
      </c>
      <c r="BX54" s="20" t="s">
        <v>363</v>
      </c>
      <c r="BY54" s="20" t="s">
        <v>119</v>
      </c>
      <c r="BZ54" s="24" t="s">
        <v>364</v>
      </c>
    </row>
    <row r="55" spans="2:78" ht="15" customHeight="1" x14ac:dyDescent="0.35">
      <c r="B55" s="20" t="s">
        <v>324</v>
      </c>
      <c r="C55" s="20" t="s">
        <v>370</v>
      </c>
      <c r="D55" s="20">
        <v>2011</v>
      </c>
      <c r="E55" s="20" t="s">
        <v>143</v>
      </c>
      <c r="F55" s="20" t="s">
        <v>152</v>
      </c>
      <c r="G55" s="20" t="s">
        <v>153</v>
      </c>
      <c r="H55" s="20" t="s">
        <v>150</v>
      </c>
      <c r="I55" s="20" t="s">
        <v>307</v>
      </c>
      <c r="J55" s="24" t="s">
        <v>151</v>
      </c>
      <c r="K55" s="24">
        <v>70</v>
      </c>
      <c r="L55" s="24">
        <v>2555</v>
      </c>
      <c r="M55" s="24">
        <v>5110</v>
      </c>
      <c r="N55" s="24" t="s">
        <v>119</v>
      </c>
      <c r="O55" s="24" t="s">
        <v>34</v>
      </c>
      <c r="P55" s="20" t="s">
        <v>32</v>
      </c>
      <c r="Q55" s="20" t="s">
        <v>33</v>
      </c>
      <c r="R55" s="20" t="s">
        <v>119</v>
      </c>
      <c r="S55" s="20" t="s">
        <v>119</v>
      </c>
      <c r="T55" s="20" t="s">
        <v>119</v>
      </c>
      <c r="U55" s="20" t="s">
        <v>119</v>
      </c>
      <c r="V55" s="20" t="s">
        <v>119</v>
      </c>
      <c r="W55" s="20" t="s">
        <v>119</v>
      </c>
      <c r="X55" s="20">
        <v>74</v>
      </c>
      <c r="Y55" s="20" t="s">
        <v>34</v>
      </c>
      <c r="Z55" s="20">
        <v>74</v>
      </c>
      <c r="AA55" s="20" t="s">
        <v>34</v>
      </c>
      <c r="AB55" s="30" t="s">
        <v>119</v>
      </c>
      <c r="AC55" s="30" t="s">
        <v>119</v>
      </c>
      <c r="AD55" s="30" t="s">
        <v>119</v>
      </c>
      <c r="AE55" s="30" t="s">
        <v>119</v>
      </c>
      <c r="AF55" s="30" t="s">
        <v>119</v>
      </c>
      <c r="AG55" s="30">
        <v>2.8962818003913801E-2</v>
      </c>
      <c r="AH55" s="30">
        <v>2.8962818003913801E-2</v>
      </c>
      <c r="AI55" s="20" t="s">
        <v>119</v>
      </c>
      <c r="AJ55" s="20">
        <v>0</v>
      </c>
      <c r="AK55" s="20" t="s">
        <v>34</v>
      </c>
      <c r="AL55" s="20">
        <v>0</v>
      </c>
      <c r="AM55" s="20" t="s">
        <v>37</v>
      </c>
      <c r="AN55" s="20" t="s">
        <v>119</v>
      </c>
      <c r="AO55" s="20" t="s">
        <v>119</v>
      </c>
      <c r="AP55" s="20" t="s">
        <v>38</v>
      </c>
      <c r="AQ55" s="20" t="s">
        <v>119</v>
      </c>
      <c r="AR55" s="20" t="s">
        <v>119</v>
      </c>
      <c r="AS55" s="20">
        <v>4</v>
      </c>
      <c r="AT55" s="20" t="s">
        <v>322</v>
      </c>
      <c r="AU55" s="20" t="s">
        <v>323</v>
      </c>
      <c r="AV55" s="20" t="s">
        <v>119</v>
      </c>
      <c r="AW55" s="20" t="s">
        <v>229</v>
      </c>
      <c r="AX55" s="55">
        <v>1</v>
      </c>
      <c r="AY55" s="20" t="s">
        <v>119</v>
      </c>
      <c r="AZ55" s="20" t="s">
        <v>119</v>
      </c>
      <c r="BA55" s="20" t="s">
        <v>119</v>
      </c>
      <c r="BB55" s="20" t="s">
        <v>97</v>
      </c>
      <c r="BC55" s="20" t="s">
        <v>98</v>
      </c>
      <c r="BD55" s="19" t="s">
        <v>321</v>
      </c>
      <c r="BE55" s="20" t="s">
        <v>300</v>
      </c>
      <c r="BF55" s="19" t="s">
        <v>319</v>
      </c>
      <c r="BG55" s="20" t="s">
        <v>89</v>
      </c>
      <c r="BH55" s="20">
        <v>29</v>
      </c>
      <c r="BI55" s="20">
        <v>20</v>
      </c>
      <c r="BJ55" s="1">
        <v>-9</v>
      </c>
      <c r="BK55" s="1" t="s">
        <v>262</v>
      </c>
      <c r="BL55" s="7">
        <v>11.5917948717948</v>
      </c>
      <c r="BM55" s="45">
        <v>1.3312820512821</v>
      </c>
      <c r="BN55" s="1">
        <v>9</v>
      </c>
      <c r="BO55" s="6">
        <f t="shared" si="10"/>
        <v>0.44376068376069999</v>
      </c>
      <c r="BP55" s="5" t="s">
        <v>119</v>
      </c>
      <c r="BQ55" s="7">
        <v>12.6194871794871</v>
      </c>
      <c r="BR55" s="6">
        <v>1.538461538</v>
      </c>
      <c r="BS55" s="14">
        <v>8</v>
      </c>
      <c r="BT55" s="6">
        <f t="shared" si="11"/>
        <v>0.54392829305724266</v>
      </c>
      <c r="BU55" s="21" t="s">
        <v>119</v>
      </c>
      <c r="BV55" s="20">
        <v>1</v>
      </c>
      <c r="BW55" s="20" t="s">
        <v>362</v>
      </c>
      <c r="BX55" s="20" t="s">
        <v>363</v>
      </c>
      <c r="BY55" s="20" t="s">
        <v>119</v>
      </c>
      <c r="BZ55" s="24" t="s">
        <v>364</v>
      </c>
    </row>
    <row r="56" spans="2:78" s="26" customFormat="1" ht="15" customHeight="1" x14ac:dyDescent="0.35">
      <c r="B56" s="26" t="s">
        <v>327</v>
      </c>
      <c r="C56" s="26" t="s">
        <v>343</v>
      </c>
      <c r="D56" s="26">
        <v>2004</v>
      </c>
      <c r="E56" s="26" t="s">
        <v>154</v>
      </c>
      <c r="F56" s="26" t="s">
        <v>173</v>
      </c>
      <c r="G56" s="26" t="s">
        <v>344</v>
      </c>
      <c r="H56" s="26" t="s">
        <v>345</v>
      </c>
      <c r="I56" s="26" t="s">
        <v>346</v>
      </c>
      <c r="J56" s="25" t="s">
        <v>347</v>
      </c>
      <c r="K56" s="25">
        <v>4</v>
      </c>
      <c r="L56" s="25">
        <v>182.5</v>
      </c>
      <c r="M56" s="25">
        <v>365</v>
      </c>
      <c r="N56" s="25" t="s">
        <v>119</v>
      </c>
      <c r="O56" s="25" t="s">
        <v>34</v>
      </c>
      <c r="P56" s="26" t="s">
        <v>32</v>
      </c>
      <c r="Q56" s="26" t="s">
        <v>33</v>
      </c>
      <c r="R56" s="26" t="s">
        <v>119</v>
      </c>
      <c r="S56" s="26" t="s">
        <v>119</v>
      </c>
      <c r="T56" s="26" t="s">
        <v>119</v>
      </c>
      <c r="U56" s="26" t="s">
        <v>119</v>
      </c>
      <c r="V56" s="26" t="s">
        <v>119</v>
      </c>
      <c r="W56" s="26" t="s">
        <v>119</v>
      </c>
      <c r="X56" s="26">
        <v>42</v>
      </c>
      <c r="Y56" s="26" t="s">
        <v>34</v>
      </c>
      <c r="Z56" s="26">
        <v>42</v>
      </c>
      <c r="AA56" s="26" t="s">
        <v>34</v>
      </c>
      <c r="AB56" s="33" t="s">
        <v>119</v>
      </c>
      <c r="AC56" s="33" t="s">
        <v>119</v>
      </c>
      <c r="AD56" s="33" t="s">
        <v>119</v>
      </c>
      <c r="AE56" s="33" t="s">
        <v>119</v>
      </c>
      <c r="AF56" s="33" t="s">
        <v>119</v>
      </c>
      <c r="AG56" s="33">
        <v>0.230136986301369</v>
      </c>
      <c r="AH56" s="33">
        <v>0.230136986301369</v>
      </c>
      <c r="AI56" s="26" t="s">
        <v>119</v>
      </c>
      <c r="AJ56" s="26">
        <v>0</v>
      </c>
      <c r="AK56" s="26" t="s">
        <v>34</v>
      </c>
      <c r="AL56" s="26">
        <v>0</v>
      </c>
      <c r="AM56" s="26" t="s">
        <v>37</v>
      </c>
      <c r="AN56" s="26" t="s">
        <v>119</v>
      </c>
      <c r="AO56" s="26" t="s">
        <v>119</v>
      </c>
      <c r="AP56" s="26" t="s">
        <v>38</v>
      </c>
      <c r="AQ56" s="26" t="s">
        <v>119</v>
      </c>
      <c r="AR56" s="26" t="s">
        <v>119</v>
      </c>
      <c r="AS56" s="26">
        <v>2</v>
      </c>
      <c r="AT56" s="26" t="s">
        <v>58</v>
      </c>
      <c r="AU56" s="26" t="s">
        <v>348</v>
      </c>
      <c r="AV56" s="26" t="s">
        <v>119</v>
      </c>
      <c r="AW56" s="26" t="s">
        <v>230</v>
      </c>
      <c r="AX56" s="55">
        <v>0</v>
      </c>
      <c r="AY56" s="26" t="s">
        <v>119</v>
      </c>
      <c r="AZ56" s="26" t="s">
        <v>119</v>
      </c>
      <c r="BA56" s="26" t="s">
        <v>119</v>
      </c>
      <c r="BB56" s="26" t="s">
        <v>170</v>
      </c>
      <c r="BC56" s="26" t="s">
        <v>171</v>
      </c>
      <c r="BD56" s="28" t="s">
        <v>376</v>
      </c>
      <c r="BE56" s="26" t="s">
        <v>185</v>
      </c>
      <c r="BF56" s="28" t="s">
        <v>349</v>
      </c>
      <c r="BG56" s="26" t="s">
        <v>83</v>
      </c>
      <c r="BH56" s="26">
        <v>10</v>
      </c>
      <c r="BI56" s="26">
        <v>20</v>
      </c>
      <c r="BJ56" s="54">
        <v>-10</v>
      </c>
      <c r="BK56" s="54" t="s">
        <v>262</v>
      </c>
      <c r="BL56" s="50">
        <v>33.716107545840302</v>
      </c>
      <c r="BM56" s="54">
        <f>BO56*SQRT(BN56)</f>
        <v>18.830933321925151</v>
      </c>
      <c r="BN56" s="54">
        <v>8</v>
      </c>
      <c r="BO56" s="48">
        <v>6.6577403240024964</v>
      </c>
      <c r="BP56" s="49" t="s">
        <v>119</v>
      </c>
      <c r="BQ56" s="50">
        <v>32.956452086868303</v>
      </c>
      <c r="BR56" s="51">
        <f>BT56*SQRT(BS56)</f>
        <v>11.029050646961844</v>
      </c>
      <c r="BS56" s="52">
        <v>8</v>
      </c>
      <c r="BT56" s="48">
        <v>3.8993582512582989</v>
      </c>
      <c r="BU56" s="29" t="s">
        <v>119</v>
      </c>
      <c r="BV56" s="26">
        <v>1</v>
      </c>
      <c r="BW56" s="26" t="s">
        <v>362</v>
      </c>
      <c r="BX56" s="26" t="s">
        <v>363</v>
      </c>
      <c r="BY56" s="26" t="s">
        <v>119</v>
      </c>
      <c r="BZ56" s="25" t="s">
        <v>364</v>
      </c>
    </row>
    <row r="57" spans="2:78" s="26" customFormat="1" ht="15" customHeight="1" x14ac:dyDescent="0.35">
      <c r="B57" s="26" t="s">
        <v>327</v>
      </c>
      <c r="C57" s="26" t="s">
        <v>343</v>
      </c>
      <c r="D57" s="26">
        <v>2004</v>
      </c>
      <c r="E57" s="26" t="s">
        <v>154</v>
      </c>
      <c r="F57" s="26" t="s">
        <v>173</v>
      </c>
      <c r="G57" s="26" t="s">
        <v>344</v>
      </c>
      <c r="H57" s="26" t="s">
        <v>345</v>
      </c>
      <c r="I57" s="26" t="s">
        <v>346</v>
      </c>
      <c r="J57" s="25" t="s">
        <v>347</v>
      </c>
      <c r="K57" s="25">
        <v>4</v>
      </c>
      <c r="L57" s="25">
        <v>182.5</v>
      </c>
      <c r="M57" s="25">
        <v>365</v>
      </c>
      <c r="N57" s="25" t="s">
        <v>119</v>
      </c>
      <c r="O57" s="25" t="s">
        <v>34</v>
      </c>
      <c r="P57" s="26" t="s">
        <v>32</v>
      </c>
      <c r="Q57" s="26" t="s">
        <v>33</v>
      </c>
      <c r="R57" s="26" t="s">
        <v>119</v>
      </c>
      <c r="S57" s="26" t="s">
        <v>119</v>
      </c>
      <c r="T57" s="26" t="s">
        <v>119</v>
      </c>
      <c r="U57" s="26" t="s">
        <v>119</v>
      </c>
      <c r="V57" s="26" t="s">
        <v>119</v>
      </c>
      <c r="W57" s="26" t="s">
        <v>119</v>
      </c>
      <c r="X57" s="26">
        <v>42</v>
      </c>
      <c r="Y57" s="26" t="s">
        <v>34</v>
      </c>
      <c r="Z57" s="26">
        <v>42</v>
      </c>
      <c r="AA57" s="26" t="s">
        <v>34</v>
      </c>
      <c r="AB57" s="33" t="s">
        <v>119</v>
      </c>
      <c r="AC57" s="33" t="s">
        <v>119</v>
      </c>
      <c r="AD57" s="33" t="s">
        <v>119</v>
      </c>
      <c r="AE57" s="33" t="s">
        <v>119</v>
      </c>
      <c r="AF57" s="33" t="s">
        <v>119</v>
      </c>
      <c r="AG57" s="33">
        <v>0.230136986301369</v>
      </c>
      <c r="AH57" s="33">
        <v>0.230136986301369</v>
      </c>
      <c r="AI57" s="26" t="s">
        <v>119</v>
      </c>
      <c r="AJ57" s="26">
        <v>0</v>
      </c>
      <c r="AK57" s="26" t="s">
        <v>34</v>
      </c>
      <c r="AL57" s="26">
        <v>0</v>
      </c>
      <c r="AM57" s="26" t="s">
        <v>37</v>
      </c>
      <c r="AN57" s="26" t="s">
        <v>119</v>
      </c>
      <c r="AO57" s="26" t="s">
        <v>119</v>
      </c>
      <c r="AP57" s="26" t="s">
        <v>38</v>
      </c>
      <c r="AQ57" s="26" t="s">
        <v>119</v>
      </c>
      <c r="AR57" s="26" t="s">
        <v>119</v>
      </c>
      <c r="AS57" s="26">
        <v>2</v>
      </c>
      <c r="AT57" s="26" t="s">
        <v>58</v>
      </c>
      <c r="AU57" s="26" t="s">
        <v>348</v>
      </c>
      <c r="AV57" s="26" t="s">
        <v>119</v>
      </c>
      <c r="AW57" s="26" t="s">
        <v>230</v>
      </c>
      <c r="AX57" s="55">
        <v>0</v>
      </c>
      <c r="AY57" s="26" t="s">
        <v>119</v>
      </c>
      <c r="AZ57" s="26" t="s">
        <v>119</v>
      </c>
      <c r="BA57" s="26" t="s">
        <v>119</v>
      </c>
      <c r="BB57" s="26" t="s">
        <v>170</v>
      </c>
      <c r="BC57" s="26" t="s">
        <v>171</v>
      </c>
      <c r="BD57" s="28" t="s">
        <v>377</v>
      </c>
      <c r="BE57" s="26" t="s">
        <v>185</v>
      </c>
      <c r="BF57" s="28" t="s">
        <v>349</v>
      </c>
      <c r="BG57" s="26" t="s">
        <v>83</v>
      </c>
      <c r="BH57" s="26">
        <v>10</v>
      </c>
      <c r="BI57" s="26">
        <v>20</v>
      </c>
      <c r="BJ57" s="54">
        <v>-10</v>
      </c>
      <c r="BK57" s="54" t="s">
        <v>262</v>
      </c>
      <c r="BL57" s="50">
        <v>35.437138009156897</v>
      </c>
      <c r="BM57" s="54">
        <f t="shared" ref="BM57:BM92" si="12">BO57*SQRT(BN57)</f>
        <v>8.0708915395478389</v>
      </c>
      <c r="BN57" s="54">
        <v>8</v>
      </c>
      <c r="BO57" s="48">
        <v>2.8534910689177053</v>
      </c>
      <c r="BP57" s="49" t="s">
        <v>119</v>
      </c>
      <c r="BQ57" s="50">
        <v>33.441176191785203</v>
      </c>
      <c r="BR57" s="51">
        <f t="shared" ref="BR57:BR92" si="13">BT57*SQRT(BS57)</f>
        <v>15.871523009817109</v>
      </c>
      <c r="BS57" s="52">
        <v>8</v>
      </c>
      <c r="BT57" s="51">
        <v>5.6114307739999996</v>
      </c>
      <c r="BU57" s="29" t="s">
        <v>119</v>
      </c>
      <c r="BV57" s="26">
        <v>1</v>
      </c>
      <c r="BW57" s="26" t="s">
        <v>362</v>
      </c>
      <c r="BX57" s="26" t="s">
        <v>363</v>
      </c>
      <c r="BY57" s="26" t="s">
        <v>119</v>
      </c>
      <c r="BZ57" s="25" t="s">
        <v>364</v>
      </c>
    </row>
    <row r="58" spans="2:78" s="26" customFormat="1" ht="15" customHeight="1" x14ac:dyDescent="0.35">
      <c r="B58" s="26" t="s">
        <v>327</v>
      </c>
      <c r="C58" s="26" t="s">
        <v>343</v>
      </c>
      <c r="D58" s="26">
        <v>2004</v>
      </c>
      <c r="E58" s="26" t="s">
        <v>154</v>
      </c>
      <c r="F58" s="26" t="s">
        <v>173</v>
      </c>
      <c r="G58" s="26" t="s">
        <v>344</v>
      </c>
      <c r="H58" s="26" t="s">
        <v>345</v>
      </c>
      <c r="I58" s="26" t="s">
        <v>346</v>
      </c>
      <c r="J58" s="25" t="s">
        <v>347</v>
      </c>
      <c r="K58" s="25">
        <v>4</v>
      </c>
      <c r="L58" s="25">
        <v>182.5</v>
      </c>
      <c r="M58" s="25">
        <v>365</v>
      </c>
      <c r="N58" s="25" t="s">
        <v>119</v>
      </c>
      <c r="O58" s="25" t="s">
        <v>34</v>
      </c>
      <c r="P58" s="26" t="s">
        <v>32</v>
      </c>
      <c r="Q58" s="26" t="s">
        <v>33</v>
      </c>
      <c r="R58" s="26" t="s">
        <v>119</v>
      </c>
      <c r="S58" s="26" t="s">
        <v>119</v>
      </c>
      <c r="T58" s="26" t="s">
        <v>119</v>
      </c>
      <c r="U58" s="26" t="s">
        <v>119</v>
      </c>
      <c r="V58" s="26" t="s">
        <v>119</v>
      </c>
      <c r="W58" s="26" t="s">
        <v>119</v>
      </c>
      <c r="X58" s="26">
        <v>42</v>
      </c>
      <c r="Y58" s="26" t="s">
        <v>34</v>
      </c>
      <c r="Z58" s="26">
        <v>42</v>
      </c>
      <c r="AA58" s="26" t="s">
        <v>34</v>
      </c>
      <c r="AB58" s="33" t="s">
        <v>119</v>
      </c>
      <c r="AC58" s="33" t="s">
        <v>119</v>
      </c>
      <c r="AD58" s="33" t="s">
        <v>119</v>
      </c>
      <c r="AE58" s="33" t="s">
        <v>119</v>
      </c>
      <c r="AF58" s="33" t="s">
        <v>119</v>
      </c>
      <c r="AG58" s="33">
        <v>0.230136986301369</v>
      </c>
      <c r="AH58" s="33">
        <v>0.230136986301369</v>
      </c>
      <c r="AI58" s="26" t="s">
        <v>119</v>
      </c>
      <c r="AJ58" s="26">
        <v>0</v>
      </c>
      <c r="AK58" s="26" t="s">
        <v>34</v>
      </c>
      <c r="AL58" s="26">
        <v>0</v>
      </c>
      <c r="AM58" s="26" t="s">
        <v>37</v>
      </c>
      <c r="AN58" s="26" t="s">
        <v>119</v>
      </c>
      <c r="AO58" s="26" t="s">
        <v>119</v>
      </c>
      <c r="AP58" s="26" t="s">
        <v>38</v>
      </c>
      <c r="AQ58" s="26" t="s">
        <v>119</v>
      </c>
      <c r="AR58" s="26" t="s">
        <v>119</v>
      </c>
      <c r="AS58" s="26">
        <v>2</v>
      </c>
      <c r="AT58" s="26" t="s">
        <v>58</v>
      </c>
      <c r="AU58" s="26" t="s">
        <v>348</v>
      </c>
      <c r="AV58" s="26" t="s">
        <v>119</v>
      </c>
      <c r="AW58" s="26" t="s">
        <v>230</v>
      </c>
      <c r="AX58" s="55">
        <v>0</v>
      </c>
      <c r="AY58" s="26" t="s">
        <v>119</v>
      </c>
      <c r="AZ58" s="26" t="s">
        <v>119</v>
      </c>
      <c r="BA58" s="26" t="s">
        <v>119</v>
      </c>
      <c r="BB58" s="26" t="s">
        <v>170</v>
      </c>
      <c r="BC58" s="26" t="s">
        <v>171</v>
      </c>
      <c r="BD58" s="28" t="s">
        <v>378</v>
      </c>
      <c r="BE58" s="26" t="s">
        <v>185</v>
      </c>
      <c r="BF58" s="28" t="s">
        <v>349</v>
      </c>
      <c r="BG58" s="26" t="s">
        <v>83</v>
      </c>
      <c r="BH58" s="26">
        <v>10</v>
      </c>
      <c r="BI58" s="26">
        <v>20</v>
      </c>
      <c r="BJ58" s="54">
        <v>-10</v>
      </c>
      <c r="BK58" s="54" t="s">
        <v>262</v>
      </c>
      <c r="BL58" s="50">
        <v>39.542639480028598</v>
      </c>
      <c r="BM58" s="54">
        <f t="shared" si="12"/>
        <v>11.836702842726513</v>
      </c>
      <c r="BN58" s="54">
        <v>8</v>
      </c>
      <c r="BO58" s="48">
        <v>4.1849064234910003</v>
      </c>
      <c r="BP58" s="49" t="s">
        <v>119</v>
      </c>
      <c r="BQ58" s="50">
        <v>42.397457651218502</v>
      </c>
      <c r="BR58" s="51">
        <f t="shared" si="13"/>
        <v>12.374094969884929</v>
      </c>
      <c r="BS58" s="52">
        <v>8</v>
      </c>
      <c r="BT58" s="48">
        <v>4.3749032321259902</v>
      </c>
      <c r="BU58" s="29" t="s">
        <v>119</v>
      </c>
      <c r="BV58" s="26">
        <v>1</v>
      </c>
      <c r="BW58" s="26" t="s">
        <v>362</v>
      </c>
      <c r="BX58" s="26" t="s">
        <v>363</v>
      </c>
      <c r="BY58" s="26" t="s">
        <v>119</v>
      </c>
      <c r="BZ58" s="25" t="s">
        <v>364</v>
      </c>
    </row>
    <row r="59" spans="2:78" s="26" customFormat="1" ht="15" customHeight="1" x14ac:dyDescent="0.35">
      <c r="B59" s="26" t="s">
        <v>327</v>
      </c>
      <c r="C59" s="26" t="s">
        <v>343</v>
      </c>
      <c r="D59" s="26">
        <v>2004</v>
      </c>
      <c r="E59" s="26" t="s">
        <v>154</v>
      </c>
      <c r="F59" s="26" t="s">
        <v>173</v>
      </c>
      <c r="G59" s="26" t="s">
        <v>344</v>
      </c>
      <c r="H59" s="26" t="s">
        <v>345</v>
      </c>
      <c r="I59" s="26" t="s">
        <v>346</v>
      </c>
      <c r="J59" s="25" t="s">
        <v>347</v>
      </c>
      <c r="K59" s="25">
        <v>4</v>
      </c>
      <c r="L59" s="25">
        <v>182.5</v>
      </c>
      <c r="M59" s="25">
        <v>365</v>
      </c>
      <c r="N59" s="25" t="s">
        <v>119</v>
      </c>
      <c r="O59" s="25" t="s">
        <v>34</v>
      </c>
      <c r="P59" s="26" t="s">
        <v>32</v>
      </c>
      <c r="Q59" s="26" t="s">
        <v>33</v>
      </c>
      <c r="R59" s="26" t="s">
        <v>119</v>
      </c>
      <c r="S59" s="26" t="s">
        <v>119</v>
      </c>
      <c r="T59" s="26" t="s">
        <v>119</v>
      </c>
      <c r="U59" s="26" t="s">
        <v>119</v>
      </c>
      <c r="V59" s="26" t="s">
        <v>119</v>
      </c>
      <c r="W59" s="26" t="s">
        <v>119</v>
      </c>
      <c r="X59" s="26">
        <v>42</v>
      </c>
      <c r="Y59" s="26" t="s">
        <v>34</v>
      </c>
      <c r="Z59" s="26">
        <v>42</v>
      </c>
      <c r="AA59" s="26" t="s">
        <v>34</v>
      </c>
      <c r="AB59" s="33" t="s">
        <v>119</v>
      </c>
      <c r="AC59" s="33" t="s">
        <v>119</v>
      </c>
      <c r="AD59" s="33" t="s">
        <v>119</v>
      </c>
      <c r="AE59" s="33" t="s">
        <v>119</v>
      </c>
      <c r="AF59" s="33" t="s">
        <v>119</v>
      </c>
      <c r="AG59" s="33">
        <v>0.230136986301369</v>
      </c>
      <c r="AH59" s="33">
        <v>0.230136986301369</v>
      </c>
      <c r="AI59" s="26" t="s">
        <v>119</v>
      </c>
      <c r="AJ59" s="26">
        <v>0</v>
      </c>
      <c r="AK59" s="26" t="s">
        <v>34</v>
      </c>
      <c r="AL59" s="26">
        <v>0</v>
      </c>
      <c r="AM59" s="26" t="s">
        <v>37</v>
      </c>
      <c r="AN59" s="26" t="s">
        <v>119</v>
      </c>
      <c r="AO59" s="26" t="s">
        <v>119</v>
      </c>
      <c r="AP59" s="26" t="s">
        <v>38</v>
      </c>
      <c r="AQ59" s="26" t="s">
        <v>119</v>
      </c>
      <c r="AR59" s="26" t="s">
        <v>119</v>
      </c>
      <c r="AS59" s="26">
        <v>2</v>
      </c>
      <c r="AT59" s="26" t="s">
        <v>58</v>
      </c>
      <c r="AU59" s="26" t="s">
        <v>348</v>
      </c>
      <c r="AV59" s="26" t="s">
        <v>119</v>
      </c>
      <c r="AW59" s="26" t="s">
        <v>230</v>
      </c>
      <c r="AX59" s="55">
        <v>0</v>
      </c>
      <c r="AY59" s="26" t="s">
        <v>119</v>
      </c>
      <c r="AZ59" s="26" t="s">
        <v>119</v>
      </c>
      <c r="BA59" s="26" t="s">
        <v>119</v>
      </c>
      <c r="BB59" s="26" t="s">
        <v>170</v>
      </c>
      <c r="BC59" s="26" t="s">
        <v>171</v>
      </c>
      <c r="BD59" s="28" t="s">
        <v>379</v>
      </c>
      <c r="BE59" s="26" t="s">
        <v>185</v>
      </c>
      <c r="BF59" s="28" t="s">
        <v>349</v>
      </c>
      <c r="BG59" s="26" t="s">
        <v>83</v>
      </c>
      <c r="BH59" s="26">
        <v>10</v>
      </c>
      <c r="BI59" s="26">
        <v>20</v>
      </c>
      <c r="BJ59" s="54">
        <v>-10</v>
      </c>
      <c r="BK59" s="54" t="s">
        <v>262</v>
      </c>
      <c r="BL59" s="50">
        <v>36.324858837395197</v>
      </c>
      <c r="BM59" s="54">
        <f t="shared" si="12"/>
        <v>15.602514145904918</v>
      </c>
      <c r="BN59" s="54">
        <v>8</v>
      </c>
      <c r="BO59" s="48">
        <v>5.5163217780642002</v>
      </c>
      <c r="BP59" s="49" t="s">
        <v>119</v>
      </c>
      <c r="BQ59" s="50">
        <v>43.459250060825497</v>
      </c>
      <c r="BR59" s="51">
        <f t="shared" si="13"/>
        <v>18.831246122930448</v>
      </c>
      <c r="BS59" s="52">
        <v>8</v>
      </c>
      <c r="BT59" s="48">
        <v>6.6578509158585</v>
      </c>
      <c r="BU59" s="29" t="s">
        <v>119</v>
      </c>
      <c r="BV59" s="26">
        <v>1</v>
      </c>
      <c r="BW59" s="26" t="s">
        <v>362</v>
      </c>
      <c r="BX59" s="26" t="s">
        <v>363</v>
      </c>
      <c r="BY59" s="26" t="s">
        <v>119</v>
      </c>
      <c r="BZ59" s="25" t="s">
        <v>364</v>
      </c>
    </row>
    <row r="60" spans="2:78" s="26" customFormat="1" ht="15" customHeight="1" x14ac:dyDescent="0.35">
      <c r="B60" s="26" t="s">
        <v>327</v>
      </c>
      <c r="C60" s="26" t="s">
        <v>343</v>
      </c>
      <c r="D60" s="26">
        <v>2004</v>
      </c>
      <c r="E60" s="26" t="s">
        <v>154</v>
      </c>
      <c r="F60" s="26" t="s">
        <v>173</v>
      </c>
      <c r="G60" s="26" t="s">
        <v>344</v>
      </c>
      <c r="H60" s="26" t="s">
        <v>345</v>
      </c>
      <c r="I60" s="26" t="s">
        <v>346</v>
      </c>
      <c r="J60" s="25" t="s">
        <v>347</v>
      </c>
      <c r="K60" s="25">
        <v>4</v>
      </c>
      <c r="L60" s="25">
        <v>182.5</v>
      </c>
      <c r="M60" s="25">
        <v>365</v>
      </c>
      <c r="N60" s="25" t="s">
        <v>119</v>
      </c>
      <c r="O60" s="25" t="s">
        <v>34</v>
      </c>
      <c r="P60" s="26" t="s">
        <v>32</v>
      </c>
      <c r="Q60" s="26" t="s">
        <v>33</v>
      </c>
      <c r="R60" s="26" t="s">
        <v>119</v>
      </c>
      <c r="S60" s="26" t="s">
        <v>119</v>
      </c>
      <c r="T60" s="26" t="s">
        <v>119</v>
      </c>
      <c r="U60" s="26" t="s">
        <v>119</v>
      </c>
      <c r="V60" s="26" t="s">
        <v>119</v>
      </c>
      <c r="W60" s="26" t="s">
        <v>119</v>
      </c>
      <c r="X60" s="26">
        <v>42</v>
      </c>
      <c r="Y60" s="26" t="s">
        <v>34</v>
      </c>
      <c r="Z60" s="26">
        <v>42</v>
      </c>
      <c r="AA60" s="26" t="s">
        <v>34</v>
      </c>
      <c r="AB60" s="33" t="s">
        <v>119</v>
      </c>
      <c r="AC60" s="33" t="s">
        <v>119</v>
      </c>
      <c r="AD60" s="33" t="s">
        <v>119</v>
      </c>
      <c r="AE60" s="33" t="s">
        <v>119</v>
      </c>
      <c r="AF60" s="33" t="s">
        <v>119</v>
      </c>
      <c r="AG60" s="33">
        <v>0.230136986301369</v>
      </c>
      <c r="AH60" s="33">
        <v>0.230136986301369</v>
      </c>
      <c r="AI60" s="26" t="s">
        <v>119</v>
      </c>
      <c r="AJ60" s="26">
        <v>0</v>
      </c>
      <c r="AK60" s="26" t="s">
        <v>34</v>
      </c>
      <c r="AL60" s="26">
        <v>0</v>
      </c>
      <c r="AM60" s="26" t="s">
        <v>37</v>
      </c>
      <c r="AN60" s="26" t="s">
        <v>119</v>
      </c>
      <c r="AO60" s="26" t="s">
        <v>119</v>
      </c>
      <c r="AP60" s="26" t="s">
        <v>38</v>
      </c>
      <c r="AQ60" s="26" t="s">
        <v>119</v>
      </c>
      <c r="AR60" s="26" t="s">
        <v>119</v>
      </c>
      <c r="AS60" s="26">
        <v>2</v>
      </c>
      <c r="AT60" s="26" t="s">
        <v>58</v>
      </c>
      <c r="AU60" s="26" t="s">
        <v>348</v>
      </c>
      <c r="AV60" s="26" t="s">
        <v>119</v>
      </c>
      <c r="AW60" s="26" t="s">
        <v>230</v>
      </c>
      <c r="AX60" s="55">
        <v>0</v>
      </c>
      <c r="AY60" s="26" t="s">
        <v>119</v>
      </c>
      <c r="AZ60" s="26" t="s">
        <v>119</v>
      </c>
      <c r="BA60" s="26" t="s">
        <v>119</v>
      </c>
      <c r="BB60" s="26" t="s">
        <v>170</v>
      </c>
      <c r="BC60" s="26" t="s">
        <v>171</v>
      </c>
      <c r="BD60" s="28" t="s">
        <v>380</v>
      </c>
      <c r="BE60" s="26" t="s">
        <v>185</v>
      </c>
      <c r="BF60" s="28" t="s">
        <v>349</v>
      </c>
      <c r="BG60" s="26" t="s">
        <v>83</v>
      </c>
      <c r="BH60" s="26">
        <v>10</v>
      </c>
      <c r="BI60" s="26">
        <v>20</v>
      </c>
      <c r="BJ60" s="54">
        <v>-10</v>
      </c>
      <c r="BK60" s="54" t="s">
        <v>262</v>
      </c>
      <c r="BL60" s="50">
        <v>36.5311126488645</v>
      </c>
      <c r="BM60" s="54">
        <f t="shared" si="12"/>
        <v>9.4149974588401744</v>
      </c>
      <c r="BN60" s="54">
        <v>8</v>
      </c>
      <c r="BO60" s="51">
        <v>3.3287042740000001</v>
      </c>
      <c r="BP60" s="49" t="s">
        <v>119</v>
      </c>
      <c r="BQ60" s="53">
        <v>46.232340899999997</v>
      </c>
      <c r="BR60" s="51">
        <f t="shared" si="13"/>
        <v>12.643103834469454</v>
      </c>
      <c r="BS60" s="52">
        <v>8</v>
      </c>
      <c r="BT60" s="48">
        <v>4.4700122282994954</v>
      </c>
      <c r="BU60" s="29" t="s">
        <v>119</v>
      </c>
      <c r="BV60" s="26">
        <v>1</v>
      </c>
      <c r="BW60" s="26" t="s">
        <v>362</v>
      </c>
      <c r="BX60" s="26" t="s">
        <v>363</v>
      </c>
      <c r="BY60" s="26" t="s">
        <v>119</v>
      </c>
      <c r="BZ60" s="25" t="s">
        <v>364</v>
      </c>
    </row>
    <row r="61" spans="2:78" s="26" customFormat="1" ht="15" customHeight="1" x14ac:dyDescent="0.35">
      <c r="B61" s="26" t="s">
        <v>327</v>
      </c>
      <c r="C61" s="26" t="s">
        <v>343</v>
      </c>
      <c r="D61" s="26">
        <v>2004</v>
      </c>
      <c r="E61" s="26" t="s">
        <v>154</v>
      </c>
      <c r="F61" s="26" t="s">
        <v>173</v>
      </c>
      <c r="G61" s="26" t="s">
        <v>344</v>
      </c>
      <c r="H61" s="26" t="s">
        <v>345</v>
      </c>
      <c r="I61" s="26" t="s">
        <v>346</v>
      </c>
      <c r="J61" s="25" t="s">
        <v>347</v>
      </c>
      <c r="K61" s="25">
        <v>4</v>
      </c>
      <c r="L61" s="25">
        <v>182.5</v>
      </c>
      <c r="M61" s="25">
        <v>365</v>
      </c>
      <c r="N61" s="25" t="s">
        <v>119</v>
      </c>
      <c r="O61" s="25" t="s">
        <v>34</v>
      </c>
      <c r="P61" s="26" t="s">
        <v>32</v>
      </c>
      <c r="Q61" s="26" t="s">
        <v>33</v>
      </c>
      <c r="R61" s="26" t="s">
        <v>119</v>
      </c>
      <c r="S61" s="26" t="s">
        <v>119</v>
      </c>
      <c r="T61" s="26" t="s">
        <v>119</v>
      </c>
      <c r="U61" s="26" t="s">
        <v>119</v>
      </c>
      <c r="V61" s="26" t="s">
        <v>119</v>
      </c>
      <c r="W61" s="26" t="s">
        <v>119</v>
      </c>
      <c r="X61" s="26">
        <v>42</v>
      </c>
      <c r="Y61" s="26" t="s">
        <v>34</v>
      </c>
      <c r="Z61" s="26">
        <v>42</v>
      </c>
      <c r="AA61" s="26" t="s">
        <v>34</v>
      </c>
      <c r="AB61" s="33" t="s">
        <v>119</v>
      </c>
      <c r="AC61" s="33" t="s">
        <v>119</v>
      </c>
      <c r="AD61" s="33" t="s">
        <v>119</v>
      </c>
      <c r="AE61" s="33" t="s">
        <v>119</v>
      </c>
      <c r="AF61" s="33" t="s">
        <v>119</v>
      </c>
      <c r="AG61" s="33">
        <v>0.230136986301369</v>
      </c>
      <c r="AH61" s="33">
        <v>0.230136986301369</v>
      </c>
      <c r="AI61" s="26" t="s">
        <v>119</v>
      </c>
      <c r="AJ61" s="26">
        <v>0</v>
      </c>
      <c r="AK61" s="26" t="s">
        <v>34</v>
      </c>
      <c r="AL61" s="26">
        <v>0</v>
      </c>
      <c r="AM61" s="26" t="s">
        <v>37</v>
      </c>
      <c r="AN61" s="26" t="s">
        <v>119</v>
      </c>
      <c r="AO61" s="26" t="s">
        <v>119</v>
      </c>
      <c r="AP61" s="26" t="s">
        <v>38</v>
      </c>
      <c r="AQ61" s="26" t="s">
        <v>119</v>
      </c>
      <c r="AR61" s="26" t="s">
        <v>119</v>
      </c>
      <c r="AS61" s="26">
        <v>2</v>
      </c>
      <c r="AT61" s="26" t="s">
        <v>58</v>
      </c>
      <c r="AU61" s="26" t="s">
        <v>348</v>
      </c>
      <c r="AV61" s="26" t="s">
        <v>119</v>
      </c>
      <c r="AW61" s="26" t="s">
        <v>230</v>
      </c>
      <c r="AX61" s="55">
        <v>0</v>
      </c>
      <c r="AY61" s="26" t="s">
        <v>119</v>
      </c>
      <c r="AZ61" s="26" t="s">
        <v>119</v>
      </c>
      <c r="BA61" s="26" t="s">
        <v>119</v>
      </c>
      <c r="BB61" s="26" t="s">
        <v>170</v>
      </c>
      <c r="BC61" s="26" t="s">
        <v>171</v>
      </c>
      <c r="BD61" s="28" t="s">
        <v>381</v>
      </c>
      <c r="BE61" s="26" t="s">
        <v>185</v>
      </c>
      <c r="BF61" s="28" t="s">
        <v>349</v>
      </c>
      <c r="BG61" s="26" t="s">
        <v>83</v>
      </c>
      <c r="BH61" s="26">
        <v>10</v>
      </c>
      <c r="BI61" s="26">
        <v>20</v>
      </c>
      <c r="BJ61" s="54">
        <v>-10</v>
      </c>
      <c r="BK61" s="54" t="s">
        <v>262</v>
      </c>
      <c r="BL61" s="50">
        <v>36.261600295754199</v>
      </c>
      <c r="BM61" s="54">
        <f t="shared" si="12"/>
        <v>18.561924457340659</v>
      </c>
      <c r="BN61" s="54">
        <v>8</v>
      </c>
      <c r="BO61" s="48">
        <v>6.5626313278290027</v>
      </c>
      <c r="BP61" s="49" t="s">
        <v>119</v>
      </c>
      <c r="BQ61" s="49">
        <v>57.566015440000001</v>
      </c>
      <c r="BR61" s="51">
        <f t="shared" si="13"/>
        <v>20.17597764484827</v>
      </c>
      <c r="BS61" s="52">
        <v>8</v>
      </c>
      <c r="BT61" s="48">
        <v>7.1332853048701992</v>
      </c>
      <c r="BU61" s="29" t="s">
        <v>119</v>
      </c>
      <c r="BV61" s="26">
        <v>1</v>
      </c>
      <c r="BW61" s="26" t="s">
        <v>362</v>
      </c>
      <c r="BX61" s="26" t="s">
        <v>363</v>
      </c>
      <c r="BY61" s="26" t="s">
        <v>119</v>
      </c>
      <c r="BZ61" s="25" t="s">
        <v>364</v>
      </c>
    </row>
    <row r="62" spans="2:78" s="26" customFormat="1" ht="15" customHeight="1" x14ac:dyDescent="0.35">
      <c r="B62" s="26" t="s">
        <v>327</v>
      </c>
      <c r="C62" s="26" t="s">
        <v>343</v>
      </c>
      <c r="D62" s="26">
        <v>2004</v>
      </c>
      <c r="E62" s="26" t="s">
        <v>154</v>
      </c>
      <c r="F62" s="26" t="s">
        <v>173</v>
      </c>
      <c r="G62" s="26" t="s">
        <v>344</v>
      </c>
      <c r="H62" s="26" t="s">
        <v>345</v>
      </c>
      <c r="I62" s="26" t="s">
        <v>346</v>
      </c>
      <c r="J62" s="25" t="s">
        <v>347</v>
      </c>
      <c r="K62" s="25">
        <v>4</v>
      </c>
      <c r="L62" s="25">
        <v>182.5</v>
      </c>
      <c r="M62" s="25">
        <v>365</v>
      </c>
      <c r="N62" s="25" t="s">
        <v>119</v>
      </c>
      <c r="O62" s="25" t="s">
        <v>34</v>
      </c>
      <c r="P62" s="26" t="s">
        <v>32</v>
      </c>
      <c r="Q62" s="26" t="s">
        <v>33</v>
      </c>
      <c r="R62" s="26" t="s">
        <v>119</v>
      </c>
      <c r="S62" s="26" t="s">
        <v>119</v>
      </c>
      <c r="T62" s="26" t="s">
        <v>119</v>
      </c>
      <c r="U62" s="26" t="s">
        <v>119</v>
      </c>
      <c r="V62" s="26" t="s">
        <v>119</v>
      </c>
      <c r="W62" s="26" t="s">
        <v>119</v>
      </c>
      <c r="X62" s="26">
        <v>42</v>
      </c>
      <c r="Y62" s="26" t="s">
        <v>34</v>
      </c>
      <c r="Z62" s="26">
        <v>42</v>
      </c>
      <c r="AA62" s="26" t="s">
        <v>34</v>
      </c>
      <c r="AB62" s="33" t="s">
        <v>119</v>
      </c>
      <c r="AC62" s="33" t="s">
        <v>119</v>
      </c>
      <c r="AD62" s="33" t="s">
        <v>119</v>
      </c>
      <c r="AE62" s="33" t="s">
        <v>119</v>
      </c>
      <c r="AF62" s="33" t="s">
        <v>119</v>
      </c>
      <c r="AG62" s="33">
        <v>0.230136986301369</v>
      </c>
      <c r="AH62" s="33">
        <v>0.230136986301369</v>
      </c>
      <c r="AI62" s="26" t="s">
        <v>119</v>
      </c>
      <c r="AJ62" s="26">
        <v>0</v>
      </c>
      <c r="AK62" s="26" t="s">
        <v>34</v>
      </c>
      <c r="AL62" s="26">
        <v>0</v>
      </c>
      <c r="AM62" s="26" t="s">
        <v>37</v>
      </c>
      <c r="AN62" s="26" t="s">
        <v>119</v>
      </c>
      <c r="AO62" s="26" t="s">
        <v>119</v>
      </c>
      <c r="AP62" s="26" t="s">
        <v>38</v>
      </c>
      <c r="AQ62" s="26" t="s">
        <v>119</v>
      </c>
      <c r="AR62" s="26" t="s">
        <v>119</v>
      </c>
      <c r="AS62" s="26">
        <v>2</v>
      </c>
      <c r="AT62" s="26" t="s">
        <v>58</v>
      </c>
      <c r="AU62" s="26" t="s">
        <v>348</v>
      </c>
      <c r="AV62" s="26" t="s">
        <v>119</v>
      </c>
      <c r="AW62" s="26" t="s">
        <v>230</v>
      </c>
      <c r="AX62" s="55">
        <v>0</v>
      </c>
      <c r="AY62" s="26" t="s">
        <v>119</v>
      </c>
      <c r="AZ62" s="26" t="s">
        <v>119</v>
      </c>
      <c r="BA62" s="26" t="s">
        <v>119</v>
      </c>
      <c r="BB62" s="26" t="s">
        <v>170</v>
      </c>
      <c r="BC62" s="26" t="s">
        <v>171</v>
      </c>
      <c r="BD62" s="28" t="s">
        <v>382</v>
      </c>
      <c r="BE62" s="26" t="s">
        <v>185</v>
      </c>
      <c r="BF62" s="28" t="s">
        <v>349</v>
      </c>
      <c r="BG62" s="26" t="s">
        <v>83</v>
      </c>
      <c r="BH62" s="26">
        <v>10</v>
      </c>
      <c r="BI62" s="26">
        <v>20</v>
      </c>
      <c r="BJ62" s="54">
        <v>-10</v>
      </c>
      <c r="BK62" s="54" t="s">
        <v>262</v>
      </c>
      <c r="BL62" s="50">
        <v>37.609051469449703</v>
      </c>
      <c r="BM62" s="54">
        <f t="shared" si="12"/>
        <v>25.556154936539578</v>
      </c>
      <c r="BN62" s="54">
        <v>8</v>
      </c>
      <c r="BO62" s="48">
        <v>9.0354652283405983</v>
      </c>
      <c r="BP62" s="49" t="s">
        <v>119</v>
      </c>
      <c r="BQ62" s="49">
        <v>55.108996169999998</v>
      </c>
      <c r="BR62" s="51">
        <f t="shared" si="13"/>
        <v>20.983004238601783</v>
      </c>
      <c r="BS62" s="52">
        <v>8</v>
      </c>
      <c r="BT62" s="48">
        <v>7.4186122933906944</v>
      </c>
      <c r="BU62" s="29" t="s">
        <v>119</v>
      </c>
      <c r="BV62" s="26">
        <v>1</v>
      </c>
      <c r="BW62" s="26" t="s">
        <v>362</v>
      </c>
      <c r="BX62" s="26" t="s">
        <v>363</v>
      </c>
      <c r="BY62" s="26" t="s">
        <v>119</v>
      </c>
      <c r="BZ62" s="25" t="s">
        <v>364</v>
      </c>
    </row>
    <row r="63" spans="2:78" s="26" customFormat="1" ht="15" customHeight="1" x14ac:dyDescent="0.35">
      <c r="B63" s="26" t="s">
        <v>327</v>
      </c>
      <c r="C63" s="26" t="s">
        <v>343</v>
      </c>
      <c r="D63" s="26">
        <v>2004</v>
      </c>
      <c r="E63" s="26" t="s">
        <v>154</v>
      </c>
      <c r="F63" s="26" t="s">
        <v>173</v>
      </c>
      <c r="G63" s="26" t="s">
        <v>344</v>
      </c>
      <c r="H63" s="26" t="s">
        <v>345</v>
      </c>
      <c r="I63" s="26" t="s">
        <v>346</v>
      </c>
      <c r="J63" s="25" t="s">
        <v>347</v>
      </c>
      <c r="K63" s="25">
        <v>4</v>
      </c>
      <c r="L63" s="25">
        <v>182.5</v>
      </c>
      <c r="M63" s="25">
        <v>365</v>
      </c>
      <c r="N63" s="25" t="s">
        <v>119</v>
      </c>
      <c r="O63" s="25" t="s">
        <v>34</v>
      </c>
      <c r="P63" s="26" t="s">
        <v>32</v>
      </c>
      <c r="Q63" s="26" t="s">
        <v>33</v>
      </c>
      <c r="R63" s="26" t="s">
        <v>119</v>
      </c>
      <c r="S63" s="26" t="s">
        <v>119</v>
      </c>
      <c r="T63" s="26" t="s">
        <v>119</v>
      </c>
      <c r="U63" s="26" t="s">
        <v>119</v>
      </c>
      <c r="V63" s="26" t="s">
        <v>119</v>
      </c>
      <c r="W63" s="26" t="s">
        <v>119</v>
      </c>
      <c r="X63" s="26">
        <v>42</v>
      </c>
      <c r="Y63" s="26" t="s">
        <v>34</v>
      </c>
      <c r="Z63" s="26">
        <v>42</v>
      </c>
      <c r="AA63" s="26" t="s">
        <v>34</v>
      </c>
      <c r="AB63" s="33" t="s">
        <v>119</v>
      </c>
      <c r="AC63" s="33" t="s">
        <v>119</v>
      </c>
      <c r="AD63" s="33" t="s">
        <v>119</v>
      </c>
      <c r="AE63" s="33" t="s">
        <v>119</v>
      </c>
      <c r="AF63" s="33" t="s">
        <v>119</v>
      </c>
      <c r="AG63" s="33">
        <v>0.230136986301369</v>
      </c>
      <c r="AH63" s="33">
        <v>0.230136986301369</v>
      </c>
      <c r="AI63" s="26" t="s">
        <v>119</v>
      </c>
      <c r="AJ63" s="26">
        <v>0</v>
      </c>
      <c r="AK63" s="26" t="s">
        <v>34</v>
      </c>
      <c r="AL63" s="26">
        <v>0</v>
      </c>
      <c r="AM63" s="26" t="s">
        <v>37</v>
      </c>
      <c r="AN63" s="26" t="s">
        <v>119</v>
      </c>
      <c r="AO63" s="26" t="s">
        <v>119</v>
      </c>
      <c r="AP63" s="26" t="s">
        <v>38</v>
      </c>
      <c r="AQ63" s="26" t="s">
        <v>119</v>
      </c>
      <c r="AR63" s="26" t="s">
        <v>119</v>
      </c>
      <c r="AS63" s="26">
        <v>2</v>
      </c>
      <c r="AT63" s="26" t="s">
        <v>58</v>
      </c>
      <c r="AU63" s="26" t="s">
        <v>348</v>
      </c>
      <c r="AV63" s="26" t="s">
        <v>119</v>
      </c>
      <c r="AW63" s="26" t="s">
        <v>229</v>
      </c>
      <c r="AX63" s="55">
        <v>1</v>
      </c>
      <c r="AY63" s="26" t="s">
        <v>119</v>
      </c>
      <c r="AZ63" s="26" t="s">
        <v>119</v>
      </c>
      <c r="BA63" s="26" t="s">
        <v>119</v>
      </c>
      <c r="BB63" s="26" t="s">
        <v>97</v>
      </c>
      <c r="BC63" s="26" t="s">
        <v>98</v>
      </c>
      <c r="BD63" s="28" t="s">
        <v>383</v>
      </c>
      <c r="BE63" s="26" t="s">
        <v>185</v>
      </c>
      <c r="BF63" s="28" t="s">
        <v>350</v>
      </c>
      <c r="BG63" s="26" t="s">
        <v>141</v>
      </c>
      <c r="BH63" s="26">
        <v>10</v>
      </c>
      <c r="BI63" s="26">
        <v>20</v>
      </c>
      <c r="BJ63" s="54">
        <v>-10</v>
      </c>
      <c r="BK63" s="54" t="s">
        <v>262</v>
      </c>
      <c r="BL63" s="49">
        <v>2.72</v>
      </c>
      <c r="BM63" s="54">
        <f t="shared" si="12"/>
        <v>1.2445079348883237</v>
      </c>
      <c r="BN63" s="54">
        <v>8</v>
      </c>
      <c r="BO63" s="54">
        <v>0.44</v>
      </c>
      <c r="BP63" s="49" t="s">
        <v>119</v>
      </c>
      <c r="BQ63" s="49">
        <v>2.69</v>
      </c>
      <c r="BR63" s="51">
        <f t="shared" si="13"/>
        <v>0.82024386617639511</v>
      </c>
      <c r="BS63" s="52">
        <v>8</v>
      </c>
      <c r="BT63" s="51">
        <v>0.28999999999999998</v>
      </c>
      <c r="BU63" s="29" t="s">
        <v>119</v>
      </c>
      <c r="BV63" s="26">
        <v>1</v>
      </c>
      <c r="BW63" s="26" t="s">
        <v>362</v>
      </c>
      <c r="BX63" s="26" t="s">
        <v>363</v>
      </c>
      <c r="BY63" s="26" t="s">
        <v>119</v>
      </c>
      <c r="BZ63" s="25" t="s">
        <v>364</v>
      </c>
    </row>
    <row r="64" spans="2:78" s="26" customFormat="1" ht="15" customHeight="1" x14ac:dyDescent="0.35">
      <c r="B64" s="26" t="s">
        <v>327</v>
      </c>
      <c r="C64" s="26" t="s">
        <v>343</v>
      </c>
      <c r="D64" s="26">
        <v>2004</v>
      </c>
      <c r="E64" s="26" t="s">
        <v>154</v>
      </c>
      <c r="F64" s="26" t="s">
        <v>173</v>
      </c>
      <c r="G64" s="26" t="s">
        <v>344</v>
      </c>
      <c r="H64" s="26" t="s">
        <v>345</v>
      </c>
      <c r="I64" s="26" t="s">
        <v>346</v>
      </c>
      <c r="J64" s="25" t="s">
        <v>347</v>
      </c>
      <c r="K64" s="25">
        <v>4</v>
      </c>
      <c r="L64" s="25">
        <v>182.5</v>
      </c>
      <c r="M64" s="25">
        <v>365</v>
      </c>
      <c r="N64" s="25" t="s">
        <v>119</v>
      </c>
      <c r="O64" s="25" t="s">
        <v>34</v>
      </c>
      <c r="P64" s="26" t="s">
        <v>32</v>
      </c>
      <c r="Q64" s="26" t="s">
        <v>33</v>
      </c>
      <c r="R64" s="26" t="s">
        <v>119</v>
      </c>
      <c r="S64" s="26" t="s">
        <v>119</v>
      </c>
      <c r="T64" s="26" t="s">
        <v>119</v>
      </c>
      <c r="U64" s="26" t="s">
        <v>119</v>
      </c>
      <c r="V64" s="26" t="s">
        <v>119</v>
      </c>
      <c r="W64" s="26" t="s">
        <v>119</v>
      </c>
      <c r="X64" s="26">
        <v>42</v>
      </c>
      <c r="Y64" s="26" t="s">
        <v>34</v>
      </c>
      <c r="Z64" s="26">
        <v>42</v>
      </c>
      <c r="AA64" s="26" t="s">
        <v>34</v>
      </c>
      <c r="AB64" s="33" t="s">
        <v>119</v>
      </c>
      <c r="AC64" s="33" t="s">
        <v>119</v>
      </c>
      <c r="AD64" s="33" t="s">
        <v>119</v>
      </c>
      <c r="AE64" s="33" t="s">
        <v>119</v>
      </c>
      <c r="AF64" s="33" t="s">
        <v>119</v>
      </c>
      <c r="AG64" s="33">
        <v>0.230136986301369</v>
      </c>
      <c r="AH64" s="33">
        <v>0.230136986301369</v>
      </c>
      <c r="AI64" s="26" t="s">
        <v>119</v>
      </c>
      <c r="AJ64" s="26">
        <v>0</v>
      </c>
      <c r="AK64" s="26" t="s">
        <v>34</v>
      </c>
      <c r="AL64" s="26">
        <v>0</v>
      </c>
      <c r="AM64" s="26" t="s">
        <v>37</v>
      </c>
      <c r="AN64" s="26" t="s">
        <v>119</v>
      </c>
      <c r="AO64" s="26" t="s">
        <v>119</v>
      </c>
      <c r="AP64" s="26" t="s">
        <v>38</v>
      </c>
      <c r="AQ64" s="26" t="s">
        <v>119</v>
      </c>
      <c r="AR64" s="26" t="s">
        <v>119</v>
      </c>
      <c r="AS64" s="26">
        <v>2</v>
      </c>
      <c r="AT64" s="26" t="s">
        <v>58</v>
      </c>
      <c r="AU64" s="26" t="s">
        <v>348</v>
      </c>
      <c r="AV64" s="26" t="s">
        <v>119</v>
      </c>
      <c r="AW64" s="26" t="s">
        <v>229</v>
      </c>
      <c r="AX64" s="55">
        <v>1</v>
      </c>
      <c r="AY64" s="26" t="s">
        <v>119</v>
      </c>
      <c r="AZ64" s="26" t="s">
        <v>119</v>
      </c>
      <c r="BA64" s="26" t="s">
        <v>119</v>
      </c>
      <c r="BB64" s="26" t="s">
        <v>97</v>
      </c>
      <c r="BC64" s="26" t="s">
        <v>98</v>
      </c>
      <c r="BD64" s="28" t="s">
        <v>384</v>
      </c>
      <c r="BE64" s="26" t="s">
        <v>185</v>
      </c>
      <c r="BF64" s="28" t="s">
        <v>350</v>
      </c>
      <c r="BG64" s="26" t="s">
        <v>141</v>
      </c>
      <c r="BH64" s="26">
        <v>10</v>
      </c>
      <c r="BI64" s="26">
        <v>20</v>
      </c>
      <c r="BJ64" s="54">
        <v>-10</v>
      </c>
      <c r="BK64" s="54" t="s">
        <v>262</v>
      </c>
      <c r="BL64" s="49">
        <v>1.85</v>
      </c>
      <c r="BM64" s="54">
        <f t="shared" si="12"/>
        <v>0.7636753236814714</v>
      </c>
      <c r="BN64" s="54">
        <v>8</v>
      </c>
      <c r="BO64" s="54">
        <v>0.27</v>
      </c>
      <c r="BP64" s="49" t="s">
        <v>119</v>
      </c>
      <c r="BQ64" s="49">
        <v>1.73</v>
      </c>
      <c r="BR64" s="51">
        <f t="shared" si="13"/>
        <v>0.62225396744416184</v>
      </c>
      <c r="BS64" s="52">
        <v>8</v>
      </c>
      <c r="BT64" s="51">
        <v>0.22</v>
      </c>
      <c r="BU64" s="29" t="s">
        <v>119</v>
      </c>
      <c r="BV64" s="26">
        <v>1</v>
      </c>
      <c r="BW64" s="26" t="s">
        <v>362</v>
      </c>
      <c r="BX64" s="26" t="s">
        <v>363</v>
      </c>
      <c r="BY64" s="26" t="s">
        <v>119</v>
      </c>
      <c r="BZ64" s="25" t="s">
        <v>364</v>
      </c>
    </row>
    <row r="65" spans="2:78" s="26" customFormat="1" ht="15" customHeight="1" x14ac:dyDescent="0.35">
      <c r="B65" s="26" t="s">
        <v>327</v>
      </c>
      <c r="C65" s="26" t="s">
        <v>343</v>
      </c>
      <c r="D65" s="26">
        <v>2004</v>
      </c>
      <c r="E65" s="26" t="s">
        <v>154</v>
      </c>
      <c r="F65" s="26" t="s">
        <v>173</v>
      </c>
      <c r="G65" s="26" t="s">
        <v>344</v>
      </c>
      <c r="H65" s="26" t="s">
        <v>345</v>
      </c>
      <c r="I65" s="26" t="s">
        <v>346</v>
      </c>
      <c r="J65" s="25" t="s">
        <v>347</v>
      </c>
      <c r="K65" s="25">
        <v>4</v>
      </c>
      <c r="L65" s="25">
        <v>182.5</v>
      </c>
      <c r="M65" s="25">
        <v>365</v>
      </c>
      <c r="N65" s="25" t="s">
        <v>119</v>
      </c>
      <c r="O65" s="25" t="s">
        <v>34</v>
      </c>
      <c r="P65" s="26" t="s">
        <v>32</v>
      </c>
      <c r="Q65" s="26" t="s">
        <v>33</v>
      </c>
      <c r="R65" s="26" t="s">
        <v>119</v>
      </c>
      <c r="S65" s="26" t="s">
        <v>119</v>
      </c>
      <c r="T65" s="26" t="s">
        <v>119</v>
      </c>
      <c r="U65" s="26" t="s">
        <v>119</v>
      </c>
      <c r="V65" s="26" t="s">
        <v>119</v>
      </c>
      <c r="W65" s="26" t="s">
        <v>119</v>
      </c>
      <c r="X65" s="26">
        <v>42</v>
      </c>
      <c r="Y65" s="26" t="s">
        <v>34</v>
      </c>
      <c r="Z65" s="26">
        <v>42</v>
      </c>
      <c r="AA65" s="26" t="s">
        <v>34</v>
      </c>
      <c r="AB65" s="33" t="s">
        <v>119</v>
      </c>
      <c r="AC65" s="33" t="s">
        <v>119</v>
      </c>
      <c r="AD65" s="33" t="s">
        <v>119</v>
      </c>
      <c r="AE65" s="33" t="s">
        <v>119</v>
      </c>
      <c r="AF65" s="33" t="s">
        <v>119</v>
      </c>
      <c r="AG65" s="33">
        <v>0.230136986301369</v>
      </c>
      <c r="AH65" s="33">
        <v>0.230136986301369</v>
      </c>
      <c r="AI65" s="26" t="s">
        <v>119</v>
      </c>
      <c r="AJ65" s="26">
        <v>0</v>
      </c>
      <c r="AK65" s="26" t="s">
        <v>34</v>
      </c>
      <c r="AL65" s="26">
        <v>0</v>
      </c>
      <c r="AM65" s="26" t="s">
        <v>37</v>
      </c>
      <c r="AN65" s="26" t="s">
        <v>119</v>
      </c>
      <c r="AO65" s="26" t="s">
        <v>119</v>
      </c>
      <c r="AP65" s="26" t="s">
        <v>38</v>
      </c>
      <c r="AQ65" s="26" t="s">
        <v>119</v>
      </c>
      <c r="AR65" s="26" t="s">
        <v>119</v>
      </c>
      <c r="AS65" s="26">
        <v>2</v>
      </c>
      <c r="AT65" s="26" t="s">
        <v>58</v>
      </c>
      <c r="AU65" s="26" t="s">
        <v>348</v>
      </c>
      <c r="AV65" s="26" t="s">
        <v>119</v>
      </c>
      <c r="AW65" s="26" t="s">
        <v>229</v>
      </c>
      <c r="AX65" s="55">
        <v>1</v>
      </c>
      <c r="AY65" s="26" t="s">
        <v>119</v>
      </c>
      <c r="AZ65" s="26" t="s">
        <v>119</v>
      </c>
      <c r="BA65" s="26" t="s">
        <v>119</v>
      </c>
      <c r="BB65" s="26" t="s">
        <v>97</v>
      </c>
      <c r="BC65" s="26" t="s">
        <v>98</v>
      </c>
      <c r="BD65" s="28" t="s">
        <v>385</v>
      </c>
      <c r="BE65" s="26" t="s">
        <v>185</v>
      </c>
      <c r="BF65" s="28" t="s">
        <v>350</v>
      </c>
      <c r="BG65" s="26" t="s">
        <v>141</v>
      </c>
      <c r="BH65" s="26">
        <v>10</v>
      </c>
      <c r="BI65" s="26">
        <v>20</v>
      </c>
      <c r="BJ65" s="54">
        <v>-10</v>
      </c>
      <c r="BK65" s="54" t="s">
        <v>262</v>
      </c>
      <c r="BL65" s="49">
        <v>2.83</v>
      </c>
      <c r="BM65" s="54">
        <f t="shared" si="12"/>
        <v>0.65053823869162375</v>
      </c>
      <c r="BN65" s="54">
        <v>8</v>
      </c>
      <c r="BO65" s="54">
        <v>0.23</v>
      </c>
      <c r="BP65" s="49" t="s">
        <v>119</v>
      </c>
      <c r="BQ65" s="49">
        <v>2.2000000000000002</v>
      </c>
      <c r="BR65" s="51">
        <f t="shared" si="13"/>
        <v>0.48083261120685239</v>
      </c>
      <c r="BS65" s="52">
        <v>8</v>
      </c>
      <c r="BT65" s="51">
        <v>0.17</v>
      </c>
      <c r="BU65" s="29" t="s">
        <v>119</v>
      </c>
      <c r="BV65" s="26">
        <v>1</v>
      </c>
      <c r="BW65" s="26" t="s">
        <v>362</v>
      </c>
      <c r="BX65" s="26" t="s">
        <v>363</v>
      </c>
      <c r="BY65" s="26" t="s">
        <v>119</v>
      </c>
      <c r="BZ65" s="25" t="s">
        <v>364</v>
      </c>
    </row>
    <row r="66" spans="2:78" s="26" customFormat="1" ht="15" customHeight="1" x14ac:dyDescent="0.35">
      <c r="B66" s="26" t="s">
        <v>327</v>
      </c>
      <c r="C66" s="26" t="s">
        <v>343</v>
      </c>
      <c r="D66" s="26">
        <v>2004</v>
      </c>
      <c r="E66" s="26" t="s">
        <v>154</v>
      </c>
      <c r="F66" s="26" t="s">
        <v>173</v>
      </c>
      <c r="G66" s="26" t="s">
        <v>344</v>
      </c>
      <c r="H66" s="26" t="s">
        <v>345</v>
      </c>
      <c r="I66" s="26" t="s">
        <v>346</v>
      </c>
      <c r="J66" s="25" t="s">
        <v>347</v>
      </c>
      <c r="K66" s="25">
        <v>4</v>
      </c>
      <c r="L66" s="25">
        <v>182.5</v>
      </c>
      <c r="M66" s="25">
        <v>365</v>
      </c>
      <c r="N66" s="25" t="s">
        <v>119</v>
      </c>
      <c r="O66" s="25" t="s">
        <v>34</v>
      </c>
      <c r="P66" s="26" t="s">
        <v>32</v>
      </c>
      <c r="Q66" s="26" t="s">
        <v>33</v>
      </c>
      <c r="R66" s="26" t="s">
        <v>119</v>
      </c>
      <c r="S66" s="26" t="s">
        <v>119</v>
      </c>
      <c r="T66" s="26" t="s">
        <v>119</v>
      </c>
      <c r="U66" s="26" t="s">
        <v>119</v>
      </c>
      <c r="V66" s="26" t="s">
        <v>119</v>
      </c>
      <c r="W66" s="26" t="s">
        <v>119</v>
      </c>
      <c r="X66" s="26">
        <v>42</v>
      </c>
      <c r="Y66" s="26" t="s">
        <v>34</v>
      </c>
      <c r="Z66" s="26">
        <v>42</v>
      </c>
      <c r="AA66" s="26" t="s">
        <v>34</v>
      </c>
      <c r="AB66" s="33" t="s">
        <v>119</v>
      </c>
      <c r="AC66" s="33" t="s">
        <v>119</v>
      </c>
      <c r="AD66" s="33" t="s">
        <v>119</v>
      </c>
      <c r="AE66" s="33" t="s">
        <v>119</v>
      </c>
      <c r="AF66" s="33" t="s">
        <v>119</v>
      </c>
      <c r="AG66" s="33">
        <v>0.230136986301369</v>
      </c>
      <c r="AH66" s="33">
        <v>0.230136986301369</v>
      </c>
      <c r="AI66" s="26" t="s">
        <v>119</v>
      </c>
      <c r="AJ66" s="26">
        <v>0</v>
      </c>
      <c r="AK66" s="26" t="s">
        <v>34</v>
      </c>
      <c r="AL66" s="26">
        <v>0</v>
      </c>
      <c r="AM66" s="26" t="s">
        <v>37</v>
      </c>
      <c r="AN66" s="26" t="s">
        <v>119</v>
      </c>
      <c r="AO66" s="26" t="s">
        <v>119</v>
      </c>
      <c r="AP66" s="26" t="s">
        <v>38</v>
      </c>
      <c r="AQ66" s="26" t="s">
        <v>119</v>
      </c>
      <c r="AR66" s="26" t="s">
        <v>119</v>
      </c>
      <c r="AS66" s="26">
        <v>2</v>
      </c>
      <c r="AT66" s="26" t="s">
        <v>58</v>
      </c>
      <c r="AU66" s="26" t="s">
        <v>348</v>
      </c>
      <c r="AV66" s="26" t="s">
        <v>119</v>
      </c>
      <c r="AW66" s="26" t="s">
        <v>229</v>
      </c>
      <c r="AX66" s="55">
        <v>1</v>
      </c>
      <c r="AY66" s="26" t="s">
        <v>119</v>
      </c>
      <c r="AZ66" s="26" t="s">
        <v>119</v>
      </c>
      <c r="BA66" s="26" t="s">
        <v>119</v>
      </c>
      <c r="BB66" s="26" t="s">
        <v>97</v>
      </c>
      <c r="BC66" s="26" t="s">
        <v>98</v>
      </c>
      <c r="BD66" s="28" t="s">
        <v>386</v>
      </c>
      <c r="BE66" s="26" t="s">
        <v>185</v>
      </c>
      <c r="BF66" s="28" t="s">
        <v>350</v>
      </c>
      <c r="BG66" s="26" t="s">
        <v>141</v>
      </c>
      <c r="BH66" s="26">
        <v>10</v>
      </c>
      <c r="BI66" s="26">
        <v>20</v>
      </c>
      <c r="BJ66" s="54">
        <v>-10</v>
      </c>
      <c r="BK66" s="54" t="s">
        <v>262</v>
      </c>
      <c r="BL66" s="49">
        <v>2.4900000000000002</v>
      </c>
      <c r="BM66" s="54">
        <f t="shared" si="12"/>
        <v>1.2727922061357857</v>
      </c>
      <c r="BN66" s="54">
        <v>8</v>
      </c>
      <c r="BO66" s="54">
        <v>0.45</v>
      </c>
      <c r="BP66" s="49" t="s">
        <v>119</v>
      </c>
      <c r="BQ66" s="49">
        <v>2.5299999999999998</v>
      </c>
      <c r="BR66" s="51">
        <f t="shared" si="13"/>
        <v>0.93338095116624287</v>
      </c>
      <c r="BS66" s="52">
        <v>8</v>
      </c>
      <c r="BT66" s="51">
        <v>0.33</v>
      </c>
      <c r="BU66" s="29" t="s">
        <v>119</v>
      </c>
      <c r="BV66" s="26">
        <v>1</v>
      </c>
      <c r="BW66" s="26" t="s">
        <v>362</v>
      </c>
      <c r="BX66" s="26" t="s">
        <v>363</v>
      </c>
      <c r="BY66" s="26" t="s">
        <v>119</v>
      </c>
      <c r="BZ66" s="25" t="s">
        <v>364</v>
      </c>
    </row>
    <row r="67" spans="2:78" s="26" customFormat="1" ht="15" customHeight="1" x14ac:dyDescent="0.35">
      <c r="B67" s="26" t="s">
        <v>327</v>
      </c>
      <c r="C67" s="26" t="s">
        <v>343</v>
      </c>
      <c r="D67" s="26">
        <v>2004</v>
      </c>
      <c r="E67" s="26" t="s">
        <v>154</v>
      </c>
      <c r="F67" s="26" t="s">
        <v>173</v>
      </c>
      <c r="G67" s="26" t="s">
        <v>344</v>
      </c>
      <c r="H67" s="26" t="s">
        <v>345</v>
      </c>
      <c r="I67" s="26" t="s">
        <v>346</v>
      </c>
      <c r="J67" s="25" t="s">
        <v>347</v>
      </c>
      <c r="K67" s="25">
        <v>4</v>
      </c>
      <c r="L67" s="25">
        <v>182.5</v>
      </c>
      <c r="M67" s="25">
        <v>365</v>
      </c>
      <c r="N67" s="25" t="s">
        <v>119</v>
      </c>
      <c r="O67" s="25" t="s">
        <v>34</v>
      </c>
      <c r="P67" s="26" t="s">
        <v>32</v>
      </c>
      <c r="Q67" s="26" t="s">
        <v>33</v>
      </c>
      <c r="R67" s="26" t="s">
        <v>119</v>
      </c>
      <c r="S67" s="26" t="s">
        <v>119</v>
      </c>
      <c r="T67" s="26" t="s">
        <v>119</v>
      </c>
      <c r="U67" s="26" t="s">
        <v>119</v>
      </c>
      <c r="V67" s="26" t="s">
        <v>119</v>
      </c>
      <c r="W67" s="26" t="s">
        <v>119</v>
      </c>
      <c r="X67" s="26">
        <v>42</v>
      </c>
      <c r="Y67" s="26" t="s">
        <v>34</v>
      </c>
      <c r="Z67" s="26">
        <v>42</v>
      </c>
      <c r="AA67" s="26" t="s">
        <v>34</v>
      </c>
      <c r="AB67" s="33" t="s">
        <v>119</v>
      </c>
      <c r="AC67" s="33" t="s">
        <v>119</v>
      </c>
      <c r="AD67" s="33" t="s">
        <v>119</v>
      </c>
      <c r="AE67" s="33" t="s">
        <v>119</v>
      </c>
      <c r="AF67" s="33" t="s">
        <v>119</v>
      </c>
      <c r="AG67" s="33">
        <v>0.230136986301369</v>
      </c>
      <c r="AH67" s="33">
        <v>0.230136986301369</v>
      </c>
      <c r="AI67" s="26" t="s">
        <v>119</v>
      </c>
      <c r="AJ67" s="26">
        <v>0</v>
      </c>
      <c r="AK67" s="26" t="s">
        <v>34</v>
      </c>
      <c r="AL67" s="26">
        <v>0</v>
      </c>
      <c r="AM67" s="26" t="s">
        <v>37</v>
      </c>
      <c r="AN67" s="26" t="s">
        <v>119</v>
      </c>
      <c r="AO67" s="26" t="s">
        <v>119</v>
      </c>
      <c r="AP67" s="26" t="s">
        <v>38</v>
      </c>
      <c r="AQ67" s="26" t="s">
        <v>119</v>
      </c>
      <c r="AR67" s="26" t="s">
        <v>119</v>
      </c>
      <c r="AS67" s="26">
        <v>2</v>
      </c>
      <c r="AT67" s="26" t="s">
        <v>58</v>
      </c>
      <c r="AU67" s="26" t="s">
        <v>348</v>
      </c>
      <c r="AV67" s="26" t="s">
        <v>119</v>
      </c>
      <c r="AW67" s="26" t="s">
        <v>229</v>
      </c>
      <c r="AX67" s="55">
        <v>1</v>
      </c>
      <c r="AY67" s="26" t="s">
        <v>119</v>
      </c>
      <c r="AZ67" s="26" t="s">
        <v>119</v>
      </c>
      <c r="BA67" s="26" t="s">
        <v>119</v>
      </c>
      <c r="BB67" s="26" t="s">
        <v>97</v>
      </c>
      <c r="BC67" s="26" t="s">
        <v>98</v>
      </c>
      <c r="BD67" s="28" t="s">
        <v>387</v>
      </c>
      <c r="BE67" s="26" t="s">
        <v>185</v>
      </c>
      <c r="BF67" s="28" t="s">
        <v>350</v>
      </c>
      <c r="BG67" s="26" t="s">
        <v>141</v>
      </c>
      <c r="BH67" s="26">
        <v>10</v>
      </c>
      <c r="BI67" s="26">
        <v>20</v>
      </c>
      <c r="BJ67" s="54">
        <v>-10</v>
      </c>
      <c r="BK67" s="54" t="s">
        <v>262</v>
      </c>
      <c r="BL67" s="49">
        <v>2.0299999999999998</v>
      </c>
      <c r="BM67" s="54">
        <f t="shared" si="12"/>
        <v>0.84852813742385702</v>
      </c>
      <c r="BN67" s="54">
        <v>8</v>
      </c>
      <c r="BO67" s="54">
        <v>0.3</v>
      </c>
      <c r="BP67" s="49" t="s">
        <v>119</v>
      </c>
      <c r="BQ67" s="49">
        <v>2.4900000000000002</v>
      </c>
      <c r="BR67" s="51">
        <f t="shared" si="13"/>
        <v>1.2445079348883237</v>
      </c>
      <c r="BS67" s="52">
        <v>8</v>
      </c>
      <c r="BT67" s="51">
        <v>0.44</v>
      </c>
      <c r="BU67" s="29" t="s">
        <v>119</v>
      </c>
      <c r="BV67" s="26">
        <v>1</v>
      </c>
      <c r="BW67" s="26" t="s">
        <v>362</v>
      </c>
      <c r="BX67" s="26" t="s">
        <v>363</v>
      </c>
      <c r="BY67" s="26" t="s">
        <v>119</v>
      </c>
      <c r="BZ67" s="25" t="s">
        <v>364</v>
      </c>
    </row>
    <row r="68" spans="2:78" s="26" customFormat="1" ht="15" customHeight="1" x14ac:dyDescent="0.35">
      <c r="B68" s="26" t="s">
        <v>327</v>
      </c>
      <c r="C68" s="26" t="s">
        <v>343</v>
      </c>
      <c r="D68" s="26">
        <v>2004</v>
      </c>
      <c r="E68" s="26" t="s">
        <v>154</v>
      </c>
      <c r="F68" s="26" t="s">
        <v>173</v>
      </c>
      <c r="G68" s="26" t="s">
        <v>344</v>
      </c>
      <c r="H68" s="26" t="s">
        <v>345</v>
      </c>
      <c r="I68" s="26" t="s">
        <v>346</v>
      </c>
      <c r="J68" s="25" t="s">
        <v>347</v>
      </c>
      <c r="K68" s="25">
        <v>4</v>
      </c>
      <c r="L68" s="25">
        <v>182.5</v>
      </c>
      <c r="M68" s="25">
        <v>365</v>
      </c>
      <c r="N68" s="25" t="s">
        <v>119</v>
      </c>
      <c r="O68" s="25" t="s">
        <v>34</v>
      </c>
      <c r="P68" s="26" t="s">
        <v>32</v>
      </c>
      <c r="Q68" s="26" t="s">
        <v>33</v>
      </c>
      <c r="R68" s="26" t="s">
        <v>119</v>
      </c>
      <c r="S68" s="26" t="s">
        <v>119</v>
      </c>
      <c r="T68" s="26" t="s">
        <v>119</v>
      </c>
      <c r="U68" s="26" t="s">
        <v>119</v>
      </c>
      <c r="V68" s="26" t="s">
        <v>119</v>
      </c>
      <c r="W68" s="26" t="s">
        <v>119</v>
      </c>
      <c r="X68" s="26">
        <v>42</v>
      </c>
      <c r="Y68" s="26" t="s">
        <v>34</v>
      </c>
      <c r="Z68" s="26">
        <v>42</v>
      </c>
      <c r="AA68" s="26" t="s">
        <v>34</v>
      </c>
      <c r="AB68" s="33" t="s">
        <v>119</v>
      </c>
      <c r="AC68" s="33" t="s">
        <v>119</v>
      </c>
      <c r="AD68" s="33" t="s">
        <v>119</v>
      </c>
      <c r="AE68" s="33" t="s">
        <v>119</v>
      </c>
      <c r="AF68" s="33" t="s">
        <v>119</v>
      </c>
      <c r="AG68" s="33">
        <v>0.230136986301369</v>
      </c>
      <c r="AH68" s="33">
        <v>0.230136986301369</v>
      </c>
      <c r="AI68" s="26" t="s">
        <v>119</v>
      </c>
      <c r="AJ68" s="26">
        <v>0</v>
      </c>
      <c r="AK68" s="26" t="s">
        <v>34</v>
      </c>
      <c r="AL68" s="26">
        <v>0</v>
      </c>
      <c r="AM68" s="26" t="s">
        <v>37</v>
      </c>
      <c r="AN68" s="26" t="s">
        <v>119</v>
      </c>
      <c r="AO68" s="26" t="s">
        <v>119</v>
      </c>
      <c r="AP68" s="26" t="s">
        <v>38</v>
      </c>
      <c r="AQ68" s="26" t="s">
        <v>119</v>
      </c>
      <c r="AR68" s="26" t="s">
        <v>119</v>
      </c>
      <c r="AS68" s="26">
        <v>2</v>
      </c>
      <c r="AT68" s="26" t="s">
        <v>58</v>
      </c>
      <c r="AU68" s="26" t="s">
        <v>348</v>
      </c>
      <c r="AV68" s="26" t="s">
        <v>119</v>
      </c>
      <c r="AW68" s="26" t="s">
        <v>229</v>
      </c>
      <c r="AX68" s="55">
        <v>1</v>
      </c>
      <c r="AY68" s="26" t="s">
        <v>119</v>
      </c>
      <c r="AZ68" s="26" t="s">
        <v>119</v>
      </c>
      <c r="BA68" s="26" t="s">
        <v>119</v>
      </c>
      <c r="BB68" s="26" t="s">
        <v>97</v>
      </c>
      <c r="BC68" s="26" t="s">
        <v>98</v>
      </c>
      <c r="BD68" s="28" t="s">
        <v>388</v>
      </c>
      <c r="BE68" s="26" t="s">
        <v>185</v>
      </c>
      <c r="BF68" s="28" t="s">
        <v>350</v>
      </c>
      <c r="BG68" s="26" t="s">
        <v>141</v>
      </c>
      <c r="BH68" s="26">
        <v>10</v>
      </c>
      <c r="BI68" s="26">
        <v>20</v>
      </c>
      <c r="BJ68" s="54">
        <v>-10</v>
      </c>
      <c r="BK68" s="54" t="s">
        <v>262</v>
      </c>
      <c r="BL68" s="49">
        <v>2.11</v>
      </c>
      <c r="BM68" s="54">
        <f t="shared" si="12"/>
        <v>1.1030865786510142</v>
      </c>
      <c r="BN68" s="54">
        <v>8</v>
      </c>
      <c r="BO68" s="54">
        <v>0.39</v>
      </c>
      <c r="BP68" s="49" t="s">
        <v>119</v>
      </c>
      <c r="BQ68" s="49">
        <v>1.99</v>
      </c>
      <c r="BR68" s="51">
        <f t="shared" si="13"/>
        <v>0.79195959492893331</v>
      </c>
      <c r="BS68" s="52">
        <v>8</v>
      </c>
      <c r="BT68" s="51">
        <v>0.28000000000000003</v>
      </c>
      <c r="BU68" s="29" t="s">
        <v>119</v>
      </c>
      <c r="BV68" s="26">
        <v>1</v>
      </c>
      <c r="BW68" s="26" t="s">
        <v>362</v>
      </c>
      <c r="BX68" s="26" t="s">
        <v>363</v>
      </c>
      <c r="BY68" s="26" t="s">
        <v>119</v>
      </c>
      <c r="BZ68" s="25" t="s">
        <v>364</v>
      </c>
    </row>
    <row r="69" spans="2:78" s="26" customFormat="1" ht="15" customHeight="1" x14ac:dyDescent="0.35">
      <c r="B69" s="26" t="s">
        <v>327</v>
      </c>
      <c r="C69" s="26" t="s">
        <v>343</v>
      </c>
      <c r="D69" s="26">
        <v>2004</v>
      </c>
      <c r="E69" s="26" t="s">
        <v>154</v>
      </c>
      <c r="F69" s="26" t="s">
        <v>173</v>
      </c>
      <c r="G69" s="26" t="s">
        <v>344</v>
      </c>
      <c r="H69" s="26" t="s">
        <v>345</v>
      </c>
      <c r="I69" s="26" t="s">
        <v>346</v>
      </c>
      <c r="J69" s="25" t="s">
        <v>347</v>
      </c>
      <c r="K69" s="25">
        <v>4</v>
      </c>
      <c r="L69" s="25">
        <v>182.5</v>
      </c>
      <c r="M69" s="25">
        <v>365</v>
      </c>
      <c r="N69" s="25" t="s">
        <v>119</v>
      </c>
      <c r="O69" s="25" t="s">
        <v>34</v>
      </c>
      <c r="P69" s="26" t="s">
        <v>32</v>
      </c>
      <c r="Q69" s="26" t="s">
        <v>33</v>
      </c>
      <c r="R69" s="26" t="s">
        <v>119</v>
      </c>
      <c r="S69" s="26" t="s">
        <v>119</v>
      </c>
      <c r="T69" s="26" t="s">
        <v>119</v>
      </c>
      <c r="U69" s="26" t="s">
        <v>119</v>
      </c>
      <c r="V69" s="26" t="s">
        <v>119</v>
      </c>
      <c r="W69" s="26" t="s">
        <v>119</v>
      </c>
      <c r="X69" s="26">
        <v>42</v>
      </c>
      <c r="Y69" s="26" t="s">
        <v>34</v>
      </c>
      <c r="Z69" s="26">
        <v>42</v>
      </c>
      <c r="AA69" s="26" t="s">
        <v>34</v>
      </c>
      <c r="AB69" s="33" t="s">
        <v>119</v>
      </c>
      <c r="AC69" s="33" t="s">
        <v>119</v>
      </c>
      <c r="AD69" s="33" t="s">
        <v>119</v>
      </c>
      <c r="AE69" s="33" t="s">
        <v>119</v>
      </c>
      <c r="AF69" s="33" t="s">
        <v>119</v>
      </c>
      <c r="AG69" s="33">
        <v>0.230136986301369</v>
      </c>
      <c r="AH69" s="33">
        <v>0.230136986301369</v>
      </c>
      <c r="AI69" s="26" t="s">
        <v>119</v>
      </c>
      <c r="AJ69" s="26">
        <v>0</v>
      </c>
      <c r="AK69" s="26" t="s">
        <v>34</v>
      </c>
      <c r="AL69" s="26">
        <v>0</v>
      </c>
      <c r="AM69" s="26" t="s">
        <v>37</v>
      </c>
      <c r="AN69" s="26" t="s">
        <v>119</v>
      </c>
      <c r="AO69" s="26" t="s">
        <v>119</v>
      </c>
      <c r="AP69" s="26" t="s">
        <v>38</v>
      </c>
      <c r="AQ69" s="26" t="s">
        <v>119</v>
      </c>
      <c r="AR69" s="26" t="s">
        <v>119</v>
      </c>
      <c r="AS69" s="26">
        <v>2</v>
      </c>
      <c r="AT69" s="26" t="s">
        <v>58</v>
      </c>
      <c r="AU69" s="26" t="s">
        <v>348</v>
      </c>
      <c r="AV69" s="26" t="s">
        <v>119</v>
      </c>
      <c r="AW69" s="26" t="s">
        <v>229</v>
      </c>
      <c r="AX69" s="55">
        <v>1</v>
      </c>
      <c r="AY69" s="26" t="s">
        <v>119</v>
      </c>
      <c r="AZ69" s="26" t="s">
        <v>119</v>
      </c>
      <c r="BA69" s="26" t="s">
        <v>119</v>
      </c>
      <c r="BB69" s="26" t="s">
        <v>97</v>
      </c>
      <c r="BC69" s="26" t="s">
        <v>98</v>
      </c>
      <c r="BD69" s="28" t="s">
        <v>389</v>
      </c>
      <c r="BE69" s="26" t="s">
        <v>185</v>
      </c>
      <c r="BF69" s="28" t="s">
        <v>350</v>
      </c>
      <c r="BG69" s="26" t="s">
        <v>141</v>
      </c>
      <c r="BH69" s="26">
        <v>10</v>
      </c>
      <c r="BI69" s="26">
        <v>20</v>
      </c>
      <c r="BJ69" s="54">
        <v>-10</v>
      </c>
      <c r="BK69" s="54" t="s">
        <v>262</v>
      </c>
      <c r="BL69" s="49">
        <v>2.69</v>
      </c>
      <c r="BM69" s="54">
        <f t="shared" si="12"/>
        <v>1.0748023074035524</v>
      </c>
      <c r="BN69" s="54">
        <v>8</v>
      </c>
      <c r="BO69" s="54">
        <v>0.38</v>
      </c>
      <c r="BP69" s="49" t="s">
        <v>119</v>
      </c>
      <c r="BQ69" s="49">
        <v>2.39</v>
      </c>
      <c r="BR69" s="51">
        <f t="shared" si="13"/>
        <v>0.56568542494923812</v>
      </c>
      <c r="BS69" s="52">
        <v>8</v>
      </c>
      <c r="BT69" s="51">
        <v>0.2</v>
      </c>
      <c r="BU69" s="29" t="s">
        <v>119</v>
      </c>
      <c r="BV69" s="26">
        <v>1</v>
      </c>
      <c r="BW69" s="26" t="s">
        <v>362</v>
      </c>
      <c r="BX69" s="26" t="s">
        <v>363</v>
      </c>
      <c r="BY69" s="26" t="s">
        <v>119</v>
      </c>
      <c r="BZ69" s="25" t="s">
        <v>364</v>
      </c>
    </row>
    <row r="70" spans="2:78" s="26" customFormat="1" ht="15" customHeight="1" x14ac:dyDescent="0.35">
      <c r="B70" s="26" t="s">
        <v>327</v>
      </c>
      <c r="C70" s="26" t="s">
        <v>343</v>
      </c>
      <c r="D70" s="26">
        <v>2004</v>
      </c>
      <c r="E70" s="26" t="s">
        <v>154</v>
      </c>
      <c r="F70" s="26" t="s">
        <v>173</v>
      </c>
      <c r="G70" s="26" t="s">
        <v>344</v>
      </c>
      <c r="H70" s="26" t="s">
        <v>345</v>
      </c>
      <c r="I70" s="26" t="s">
        <v>346</v>
      </c>
      <c r="J70" s="25" t="s">
        <v>347</v>
      </c>
      <c r="K70" s="25">
        <v>4</v>
      </c>
      <c r="L70" s="25">
        <v>182.5</v>
      </c>
      <c r="M70" s="25">
        <v>365</v>
      </c>
      <c r="N70" s="25" t="s">
        <v>119</v>
      </c>
      <c r="O70" s="25" t="s">
        <v>34</v>
      </c>
      <c r="P70" s="26" t="s">
        <v>32</v>
      </c>
      <c r="Q70" s="26" t="s">
        <v>33</v>
      </c>
      <c r="R70" s="26" t="s">
        <v>119</v>
      </c>
      <c r="S70" s="26" t="s">
        <v>119</v>
      </c>
      <c r="T70" s="26" t="s">
        <v>119</v>
      </c>
      <c r="U70" s="26" t="s">
        <v>119</v>
      </c>
      <c r="V70" s="26" t="s">
        <v>119</v>
      </c>
      <c r="W70" s="26" t="s">
        <v>119</v>
      </c>
      <c r="X70" s="26">
        <v>42</v>
      </c>
      <c r="Y70" s="26" t="s">
        <v>34</v>
      </c>
      <c r="Z70" s="26">
        <v>42</v>
      </c>
      <c r="AA70" s="26" t="s">
        <v>34</v>
      </c>
      <c r="AB70" s="33" t="s">
        <v>119</v>
      </c>
      <c r="AC70" s="33" t="s">
        <v>119</v>
      </c>
      <c r="AD70" s="33" t="s">
        <v>119</v>
      </c>
      <c r="AE70" s="33" t="s">
        <v>119</v>
      </c>
      <c r="AF70" s="33" t="s">
        <v>119</v>
      </c>
      <c r="AG70" s="33">
        <v>0.230136986301369</v>
      </c>
      <c r="AH70" s="33">
        <v>0.230136986301369</v>
      </c>
      <c r="AI70" s="26" t="s">
        <v>119</v>
      </c>
      <c r="AJ70" s="26">
        <v>0</v>
      </c>
      <c r="AK70" s="26" t="s">
        <v>34</v>
      </c>
      <c r="AL70" s="26">
        <v>0</v>
      </c>
      <c r="AM70" s="26" t="s">
        <v>37</v>
      </c>
      <c r="AN70" s="26" t="s">
        <v>119</v>
      </c>
      <c r="AO70" s="26" t="s">
        <v>119</v>
      </c>
      <c r="AP70" s="26" t="s">
        <v>38</v>
      </c>
      <c r="AQ70" s="26" t="s">
        <v>119</v>
      </c>
      <c r="AR70" s="26" t="s">
        <v>119</v>
      </c>
      <c r="AS70" s="26">
        <v>2</v>
      </c>
      <c r="AT70" s="26" t="s">
        <v>58</v>
      </c>
      <c r="AU70" s="26" t="s">
        <v>348</v>
      </c>
      <c r="AV70" s="26" t="s">
        <v>119</v>
      </c>
      <c r="AW70" s="26" t="s">
        <v>229</v>
      </c>
      <c r="AX70" s="55">
        <v>1</v>
      </c>
      <c r="AY70" s="26" t="s">
        <v>119</v>
      </c>
      <c r="AZ70" s="26" t="s">
        <v>119</v>
      </c>
      <c r="BA70" s="26" t="s">
        <v>119</v>
      </c>
      <c r="BB70" s="26" t="s">
        <v>97</v>
      </c>
      <c r="BC70" s="26" t="s">
        <v>98</v>
      </c>
      <c r="BD70" s="28" t="s">
        <v>390</v>
      </c>
      <c r="BE70" s="26" t="s">
        <v>185</v>
      </c>
      <c r="BF70" s="28" t="s">
        <v>350</v>
      </c>
      <c r="BG70" s="26" t="s">
        <v>141</v>
      </c>
      <c r="BH70" s="26">
        <v>10</v>
      </c>
      <c r="BI70" s="26">
        <v>20</v>
      </c>
      <c r="BJ70" s="54">
        <v>-10</v>
      </c>
      <c r="BK70" s="54" t="s">
        <v>262</v>
      </c>
      <c r="BL70" s="49">
        <v>2.78</v>
      </c>
      <c r="BM70" s="54">
        <f t="shared" si="12"/>
        <v>0.31112698372208092</v>
      </c>
      <c r="BN70" s="54">
        <v>8</v>
      </c>
      <c r="BO70" s="54">
        <v>0.11</v>
      </c>
      <c r="BP70" s="49" t="s">
        <v>119</v>
      </c>
      <c r="BQ70" s="49">
        <v>2.81</v>
      </c>
      <c r="BR70" s="51">
        <f t="shared" si="13"/>
        <v>0.82024386617639511</v>
      </c>
      <c r="BS70" s="52">
        <v>8</v>
      </c>
      <c r="BT70" s="51">
        <v>0.28999999999999998</v>
      </c>
      <c r="BU70" s="29" t="s">
        <v>119</v>
      </c>
      <c r="BV70" s="26">
        <v>1</v>
      </c>
      <c r="BW70" s="26" t="s">
        <v>362</v>
      </c>
      <c r="BX70" s="26" t="s">
        <v>363</v>
      </c>
      <c r="BY70" s="26" t="s">
        <v>119</v>
      </c>
      <c r="BZ70" s="25" t="s">
        <v>364</v>
      </c>
    </row>
    <row r="71" spans="2:78" s="26" customFormat="1" ht="15" customHeight="1" x14ac:dyDescent="0.35">
      <c r="B71" s="26" t="s">
        <v>327</v>
      </c>
      <c r="C71" s="26" t="s">
        <v>343</v>
      </c>
      <c r="D71" s="26">
        <v>2004</v>
      </c>
      <c r="E71" s="26" t="s">
        <v>154</v>
      </c>
      <c r="F71" s="26" t="s">
        <v>173</v>
      </c>
      <c r="G71" s="26" t="s">
        <v>344</v>
      </c>
      <c r="H71" s="26" t="s">
        <v>345</v>
      </c>
      <c r="I71" s="26" t="s">
        <v>346</v>
      </c>
      <c r="J71" s="25" t="s">
        <v>347</v>
      </c>
      <c r="K71" s="25">
        <v>4</v>
      </c>
      <c r="L71" s="25">
        <v>182.5</v>
      </c>
      <c r="M71" s="25">
        <v>365</v>
      </c>
      <c r="N71" s="25" t="s">
        <v>119</v>
      </c>
      <c r="O71" s="25" t="s">
        <v>34</v>
      </c>
      <c r="P71" s="26" t="s">
        <v>32</v>
      </c>
      <c r="Q71" s="26" t="s">
        <v>33</v>
      </c>
      <c r="R71" s="26" t="s">
        <v>119</v>
      </c>
      <c r="S71" s="26" t="s">
        <v>119</v>
      </c>
      <c r="T71" s="26" t="s">
        <v>119</v>
      </c>
      <c r="U71" s="26" t="s">
        <v>119</v>
      </c>
      <c r="V71" s="26" t="s">
        <v>119</v>
      </c>
      <c r="W71" s="26" t="s">
        <v>119</v>
      </c>
      <c r="X71" s="26">
        <v>42</v>
      </c>
      <c r="Y71" s="26" t="s">
        <v>34</v>
      </c>
      <c r="Z71" s="26">
        <v>42</v>
      </c>
      <c r="AA71" s="26" t="s">
        <v>34</v>
      </c>
      <c r="AB71" s="33" t="s">
        <v>119</v>
      </c>
      <c r="AC71" s="33" t="s">
        <v>119</v>
      </c>
      <c r="AD71" s="33" t="s">
        <v>119</v>
      </c>
      <c r="AE71" s="33" t="s">
        <v>119</v>
      </c>
      <c r="AF71" s="33" t="s">
        <v>119</v>
      </c>
      <c r="AG71" s="33">
        <v>0.230136986301369</v>
      </c>
      <c r="AH71" s="33">
        <v>0.230136986301369</v>
      </c>
      <c r="AI71" s="26" t="s">
        <v>119</v>
      </c>
      <c r="AJ71" s="26">
        <v>0</v>
      </c>
      <c r="AK71" s="26" t="s">
        <v>34</v>
      </c>
      <c r="AL71" s="26">
        <v>0</v>
      </c>
      <c r="AM71" s="26" t="s">
        <v>37</v>
      </c>
      <c r="AN71" s="26" t="s">
        <v>119</v>
      </c>
      <c r="AO71" s="26" t="s">
        <v>119</v>
      </c>
      <c r="AP71" s="26" t="s">
        <v>38</v>
      </c>
      <c r="AQ71" s="26" t="s">
        <v>119</v>
      </c>
      <c r="AR71" s="26" t="s">
        <v>119</v>
      </c>
      <c r="AS71" s="26">
        <v>2</v>
      </c>
      <c r="AT71" s="26" t="s">
        <v>58</v>
      </c>
      <c r="AU71" s="26" t="s">
        <v>348</v>
      </c>
      <c r="AV71" s="26" t="s">
        <v>119</v>
      </c>
      <c r="AW71" s="26" t="s">
        <v>229</v>
      </c>
      <c r="AX71" s="55">
        <v>1</v>
      </c>
      <c r="AY71" s="26" t="s">
        <v>119</v>
      </c>
      <c r="AZ71" s="26" t="s">
        <v>119</v>
      </c>
      <c r="BA71" s="26" t="s">
        <v>119</v>
      </c>
      <c r="BB71" s="26" t="s">
        <v>97</v>
      </c>
      <c r="BC71" s="26" t="s">
        <v>98</v>
      </c>
      <c r="BD71" s="28" t="s">
        <v>391</v>
      </c>
      <c r="BE71" s="26" t="s">
        <v>185</v>
      </c>
      <c r="BF71" s="28" t="s">
        <v>350</v>
      </c>
      <c r="BG71" s="26" t="s">
        <v>141</v>
      </c>
      <c r="BH71" s="26">
        <v>10</v>
      </c>
      <c r="BI71" s="26">
        <v>20</v>
      </c>
      <c r="BJ71" s="54">
        <v>-10</v>
      </c>
      <c r="BK71" s="54" t="s">
        <v>262</v>
      </c>
      <c r="BL71" s="49">
        <v>2.35</v>
      </c>
      <c r="BM71" s="54">
        <f t="shared" si="12"/>
        <v>0.90509667991878096</v>
      </c>
      <c r="BN71" s="54">
        <v>8</v>
      </c>
      <c r="BO71" s="54">
        <v>0.32</v>
      </c>
      <c r="BP71" s="49" t="s">
        <v>119</v>
      </c>
      <c r="BQ71" s="49">
        <v>2.54</v>
      </c>
      <c r="BR71" s="51">
        <f t="shared" si="13"/>
        <v>0.67882250993908566</v>
      </c>
      <c r="BS71" s="52">
        <v>8</v>
      </c>
      <c r="BT71" s="51">
        <v>0.24</v>
      </c>
      <c r="BU71" s="29" t="s">
        <v>119</v>
      </c>
      <c r="BV71" s="26">
        <v>1</v>
      </c>
      <c r="BW71" s="26" t="s">
        <v>362</v>
      </c>
      <c r="BX71" s="26" t="s">
        <v>363</v>
      </c>
      <c r="BY71" s="26" t="s">
        <v>119</v>
      </c>
      <c r="BZ71" s="25" t="s">
        <v>364</v>
      </c>
    </row>
    <row r="72" spans="2:78" s="26" customFormat="1" ht="15" customHeight="1" x14ac:dyDescent="0.35">
      <c r="B72" s="26" t="s">
        <v>327</v>
      </c>
      <c r="C72" s="26" t="s">
        <v>343</v>
      </c>
      <c r="D72" s="26">
        <v>2004</v>
      </c>
      <c r="E72" s="26" t="s">
        <v>154</v>
      </c>
      <c r="F72" s="26" t="s">
        <v>173</v>
      </c>
      <c r="G72" s="26" t="s">
        <v>344</v>
      </c>
      <c r="H72" s="26" t="s">
        <v>345</v>
      </c>
      <c r="I72" s="26" t="s">
        <v>346</v>
      </c>
      <c r="J72" s="25" t="s">
        <v>347</v>
      </c>
      <c r="K72" s="25">
        <v>4</v>
      </c>
      <c r="L72" s="25">
        <v>182.5</v>
      </c>
      <c r="M72" s="25">
        <v>365</v>
      </c>
      <c r="N72" s="25" t="s">
        <v>119</v>
      </c>
      <c r="O72" s="25" t="s">
        <v>34</v>
      </c>
      <c r="P72" s="26" t="s">
        <v>32</v>
      </c>
      <c r="Q72" s="26" t="s">
        <v>33</v>
      </c>
      <c r="R72" s="26" t="s">
        <v>119</v>
      </c>
      <c r="S72" s="26" t="s">
        <v>119</v>
      </c>
      <c r="T72" s="26" t="s">
        <v>119</v>
      </c>
      <c r="U72" s="26" t="s">
        <v>119</v>
      </c>
      <c r="V72" s="26" t="s">
        <v>119</v>
      </c>
      <c r="W72" s="26" t="s">
        <v>119</v>
      </c>
      <c r="X72" s="26">
        <v>42</v>
      </c>
      <c r="Y72" s="26" t="s">
        <v>34</v>
      </c>
      <c r="Z72" s="26">
        <v>42</v>
      </c>
      <c r="AA72" s="26" t="s">
        <v>34</v>
      </c>
      <c r="AB72" s="33" t="s">
        <v>119</v>
      </c>
      <c r="AC72" s="33" t="s">
        <v>119</v>
      </c>
      <c r="AD72" s="33" t="s">
        <v>119</v>
      </c>
      <c r="AE72" s="33" t="s">
        <v>119</v>
      </c>
      <c r="AF72" s="33" t="s">
        <v>119</v>
      </c>
      <c r="AG72" s="33">
        <v>0.230136986301369</v>
      </c>
      <c r="AH72" s="33">
        <v>0.230136986301369</v>
      </c>
      <c r="AI72" s="26" t="s">
        <v>119</v>
      </c>
      <c r="AJ72" s="26">
        <v>0</v>
      </c>
      <c r="AK72" s="26" t="s">
        <v>34</v>
      </c>
      <c r="AL72" s="26">
        <v>0</v>
      </c>
      <c r="AM72" s="26" t="s">
        <v>37</v>
      </c>
      <c r="AN72" s="26" t="s">
        <v>119</v>
      </c>
      <c r="AO72" s="26" t="s">
        <v>119</v>
      </c>
      <c r="AP72" s="26" t="s">
        <v>38</v>
      </c>
      <c r="AQ72" s="26" t="s">
        <v>119</v>
      </c>
      <c r="AR72" s="26" t="s">
        <v>119</v>
      </c>
      <c r="AS72" s="26">
        <v>2</v>
      </c>
      <c r="AT72" s="26" t="s">
        <v>58</v>
      </c>
      <c r="AU72" s="26" t="s">
        <v>348</v>
      </c>
      <c r="AV72" s="26" t="s">
        <v>119</v>
      </c>
      <c r="AW72" s="26" t="s">
        <v>229</v>
      </c>
      <c r="AX72" s="55">
        <v>1</v>
      </c>
      <c r="AY72" s="26" t="s">
        <v>119</v>
      </c>
      <c r="AZ72" s="26" t="s">
        <v>119</v>
      </c>
      <c r="BA72" s="26" t="s">
        <v>119</v>
      </c>
      <c r="BB72" s="26" t="s">
        <v>97</v>
      </c>
      <c r="BC72" s="26" t="s">
        <v>98</v>
      </c>
      <c r="BD72" s="28" t="s">
        <v>392</v>
      </c>
      <c r="BE72" s="26" t="s">
        <v>185</v>
      </c>
      <c r="BF72" s="28" t="s">
        <v>350</v>
      </c>
      <c r="BG72" s="26" t="s">
        <v>141</v>
      </c>
      <c r="BH72" s="26">
        <v>10</v>
      </c>
      <c r="BI72" s="26">
        <v>20</v>
      </c>
      <c r="BJ72" s="54">
        <v>-10</v>
      </c>
      <c r="BK72" s="54" t="s">
        <v>262</v>
      </c>
      <c r="BL72" s="49">
        <v>2.64</v>
      </c>
      <c r="BM72" s="54">
        <f t="shared" si="12"/>
        <v>0.90509667991878096</v>
      </c>
      <c r="BN72" s="54">
        <v>8</v>
      </c>
      <c r="BO72" s="54">
        <v>0.32</v>
      </c>
      <c r="BP72" s="49" t="s">
        <v>119</v>
      </c>
      <c r="BQ72" s="49">
        <v>2.74</v>
      </c>
      <c r="BR72" s="51">
        <f t="shared" si="13"/>
        <v>0.70710678118654757</v>
      </c>
      <c r="BS72" s="52">
        <v>8</v>
      </c>
      <c r="BT72" s="51">
        <v>0.25</v>
      </c>
      <c r="BU72" s="29" t="s">
        <v>119</v>
      </c>
      <c r="BV72" s="26">
        <v>1</v>
      </c>
      <c r="BW72" s="26" t="s">
        <v>362</v>
      </c>
      <c r="BX72" s="26" t="s">
        <v>363</v>
      </c>
      <c r="BY72" s="26" t="s">
        <v>119</v>
      </c>
      <c r="BZ72" s="25" t="s">
        <v>364</v>
      </c>
    </row>
    <row r="73" spans="2:78" s="26" customFormat="1" ht="15" customHeight="1" x14ac:dyDescent="0.35">
      <c r="B73" s="26" t="s">
        <v>327</v>
      </c>
      <c r="C73" s="26" t="s">
        <v>343</v>
      </c>
      <c r="D73" s="26">
        <v>2004</v>
      </c>
      <c r="E73" s="26" t="s">
        <v>154</v>
      </c>
      <c r="F73" s="26" t="s">
        <v>173</v>
      </c>
      <c r="G73" s="26" t="s">
        <v>344</v>
      </c>
      <c r="H73" s="26" t="s">
        <v>345</v>
      </c>
      <c r="I73" s="26" t="s">
        <v>346</v>
      </c>
      <c r="J73" s="25" t="s">
        <v>347</v>
      </c>
      <c r="K73" s="25">
        <v>4</v>
      </c>
      <c r="L73" s="25">
        <v>182.5</v>
      </c>
      <c r="M73" s="25">
        <v>365</v>
      </c>
      <c r="N73" s="25" t="s">
        <v>119</v>
      </c>
      <c r="O73" s="25" t="s">
        <v>34</v>
      </c>
      <c r="P73" s="26" t="s">
        <v>32</v>
      </c>
      <c r="Q73" s="26" t="s">
        <v>33</v>
      </c>
      <c r="R73" s="26" t="s">
        <v>119</v>
      </c>
      <c r="S73" s="26" t="s">
        <v>119</v>
      </c>
      <c r="T73" s="26" t="s">
        <v>119</v>
      </c>
      <c r="U73" s="26" t="s">
        <v>119</v>
      </c>
      <c r="V73" s="26" t="s">
        <v>119</v>
      </c>
      <c r="W73" s="26" t="s">
        <v>119</v>
      </c>
      <c r="X73" s="26">
        <v>42</v>
      </c>
      <c r="Y73" s="26" t="s">
        <v>34</v>
      </c>
      <c r="Z73" s="26">
        <v>42</v>
      </c>
      <c r="AA73" s="26" t="s">
        <v>34</v>
      </c>
      <c r="AB73" s="33" t="s">
        <v>119</v>
      </c>
      <c r="AC73" s="33" t="s">
        <v>119</v>
      </c>
      <c r="AD73" s="33" t="s">
        <v>119</v>
      </c>
      <c r="AE73" s="33" t="s">
        <v>119</v>
      </c>
      <c r="AF73" s="33" t="s">
        <v>119</v>
      </c>
      <c r="AG73" s="33">
        <v>0.230136986301369</v>
      </c>
      <c r="AH73" s="33">
        <v>0.230136986301369</v>
      </c>
      <c r="AI73" s="26" t="s">
        <v>119</v>
      </c>
      <c r="AJ73" s="26">
        <v>0</v>
      </c>
      <c r="AK73" s="26" t="s">
        <v>34</v>
      </c>
      <c r="AL73" s="26">
        <v>0</v>
      </c>
      <c r="AM73" s="26" t="s">
        <v>37</v>
      </c>
      <c r="AN73" s="26" t="s">
        <v>119</v>
      </c>
      <c r="AO73" s="26" t="s">
        <v>119</v>
      </c>
      <c r="AP73" s="26" t="s">
        <v>38</v>
      </c>
      <c r="AQ73" s="26" t="s">
        <v>119</v>
      </c>
      <c r="AR73" s="26" t="s">
        <v>119</v>
      </c>
      <c r="AS73" s="26">
        <v>2</v>
      </c>
      <c r="AT73" s="26" t="s">
        <v>58</v>
      </c>
      <c r="AU73" s="26" t="s">
        <v>348</v>
      </c>
      <c r="AV73" s="26" t="s">
        <v>119</v>
      </c>
      <c r="AW73" s="26" t="s">
        <v>229</v>
      </c>
      <c r="AX73" s="55">
        <v>1</v>
      </c>
      <c r="AY73" s="26" t="s">
        <v>119</v>
      </c>
      <c r="AZ73" s="26" t="s">
        <v>119</v>
      </c>
      <c r="BA73" s="26" t="s">
        <v>119</v>
      </c>
      <c r="BB73" s="26" t="s">
        <v>97</v>
      </c>
      <c r="BC73" s="26" t="s">
        <v>98</v>
      </c>
      <c r="BD73" s="28" t="s">
        <v>393</v>
      </c>
      <c r="BE73" s="26" t="s">
        <v>185</v>
      </c>
      <c r="BF73" s="28" t="s">
        <v>350</v>
      </c>
      <c r="BG73" s="26" t="s">
        <v>141</v>
      </c>
      <c r="BH73" s="26">
        <v>10</v>
      </c>
      <c r="BI73" s="26">
        <v>20</v>
      </c>
      <c r="BJ73" s="54">
        <v>-10</v>
      </c>
      <c r="BK73" s="54" t="s">
        <v>262</v>
      </c>
      <c r="BL73" s="49">
        <v>2.89</v>
      </c>
      <c r="BM73" s="54">
        <f t="shared" si="12"/>
        <v>1.8101933598375619</v>
      </c>
      <c r="BN73" s="54">
        <v>8</v>
      </c>
      <c r="BO73" s="54">
        <v>0.64</v>
      </c>
      <c r="BP73" s="49" t="s">
        <v>119</v>
      </c>
      <c r="BQ73" s="49">
        <v>2.84</v>
      </c>
      <c r="BR73" s="51">
        <f t="shared" si="13"/>
        <v>0.67882250993908566</v>
      </c>
      <c r="BS73" s="52">
        <v>8</v>
      </c>
      <c r="BT73" s="51">
        <v>0.24</v>
      </c>
      <c r="BU73" s="29" t="s">
        <v>119</v>
      </c>
      <c r="BV73" s="26">
        <v>1</v>
      </c>
      <c r="BW73" s="26" t="s">
        <v>362</v>
      </c>
      <c r="BX73" s="26" t="s">
        <v>363</v>
      </c>
      <c r="BY73" s="26" t="s">
        <v>119</v>
      </c>
      <c r="BZ73" s="25" t="s">
        <v>364</v>
      </c>
    </row>
    <row r="74" spans="2:78" s="26" customFormat="1" ht="15" customHeight="1" x14ac:dyDescent="0.35">
      <c r="B74" s="26" t="s">
        <v>327</v>
      </c>
      <c r="C74" s="26" t="s">
        <v>343</v>
      </c>
      <c r="D74" s="26">
        <v>2004</v>
      </c>
      <c r="E74" s="26" t="s">
        <v>154</v>
      </c>
      <c r="F74" s="26" t="s">
        <v>173</v>
      </c>
      <c r="G74" s="26" t="s">
        <v>344</v>
      </c>
      <c r="H74" s="26" t="s">
        <v>345</v>
      </c>
      <c r="I74" s="26" t="s">
        <v>346</v>
      </c>
      <c r="J74" s="25" t="s">
        <v>347</v>
      </c>
      <c r="K74" s="25">
        <v>4</v>
      </c>
      <c r="L74" s="25">
        <v>182.5</v>
      </c>
      <c r="M74" s="25">
        <v>365</v>
      </c>
      <c r="N74" s="25" t="s">
        <v>119</v>
      </c>
      <c r="O74" s="25" t="s">
        <v>34</v>
      </c>
      <c r="P74" s="26" t="s">
        <v>32</v>
      </c>
      <c r="Q74" s="26" t="s">
        <v>33</v>
      </c>
      <c r="R74" s="26" t="s">
        <v>119</v>
      </c>
      <c r="S74" s="26" t="s">
        <v>119</v>
      </c>
      <c r="T74" s="26" t="s">
        <v>119</v>
      </c>
      <c r="U74" s="26" t="s">
        <v>119</v>
      </c>
      <c r="V74" s="26" t="s">
        <v>119</v>
      </c>
      <c r="W74" s="26" t="s">
        <v>119</v>
      </c>
      <c r="X74" s="26">
        <v>42</v>
      </c>
      <c r="Y74" s="26" t="s">
        <v>34</v>
      </c>
      <c r="Z74" s="26">
        <v>42</v>
      </c>
      <c r="AA74" s="26" t="s">
        <v>34</v>
      </c>
      <c r="AB74" s="33" t="s">
        <v>119</v>
      </c>
      <c r="AC74" s="33" t="s">
        <v>119</v>
      </c>
      <c r="AD74" s="33" t="s">
        <v>119</v>
      </c>
      <c r="AE74" s="33" t="s">
        <v>119</v>
      </c>
      <c r="AF74" s="33" t="s">
        <v>119</v>
      </c>
      <c r="AG74" s="33">
        <v>0.230136986301369</v>
      </c>
      <c r="AH74" s="33">
        <v>0.230136986301369</v>
      </c>
      <c r="AI74" s="26" t="s">
        <v>119</v>
      </c>
      <c r="AJ74" s="26">
        <v>0</v>
      </c>
      <c r="AK74" s="26" t="s">
        <v>34</v>
      </c>
      <c r="AL74" s="26">
        <v>0</v>
      </c>
      <c r="AM74" s="26" t="s">
        <v>37</v>
      </c>
      <c r="AN74" s="26" t="s">
        <v>119</v>
      </c>
      <c r="AO74" s="26" t="s">
        <v>119</v>
      </c>
      <c r="AP74" s="26" t="s">
        <v>38</v>
      </c>
      <c r="AQ74" s="26" t="s">
        <v>119</v>
      </c>
      <c r="AR74" s="26" t="s">
        <v>119</v>
      </c>
      <c r="AS74" s="26">
        <v>2</v>
      </c>
      <c r="AT74" s="26" t="s">
        <v>58</v>
      </c>
      <c r="AU74" s="26" t="s">
        <v>348</v>
      </c>
      <c r="AV74" s="26" t="s">
        <v>119</v>
      </c>
      <c r="AW74" s="26" t="s">
        <v>229</v>
      </c>
      <c r="AX74" s="55">
        <v>1</v>
      </c>
      <c r="AY74" s="26" t="s">
        <v>119</v>
      </c>
      <c r="AZ74" s="26" t="s">
        <v>119</v>
      </c>
      <c r="BA74" s="26" t="s">
        <v>119</v>
      </c>
      <c r="BB74" s="26" t="s">
        <v>97</v>
      </c>
      <c r="BC74" s="26" t="s">
        <v>178</v>
      </c>
      <c r="BD74" s="28" t="s">
        <v>394</v>
      </c>
      <c r="BE74" s="26" t="s">
        <v>185</v>
      </c>
      <c r="BF74" s="28" t="s">
        <v>350</v>
      </c>
      <c r="BG74" s="26" t="s">
        <v>141</v>
      </c>
      <c r="BH74" s="26">
        <v>10</v>
      </c>
      <c r="BI74" s="26">
        <v>20</v>
      </c>
      <c r="BJ74" s="54">
        <v>-10</v>
      </c>
      <c r="BK74" s="54" t="s">
        <v>262</v>
      </c>
      <c r="BL74" s="49">
        <v>2.41</v>
      </c>
      <c r="BM74" s="54">
        <f t="shared" si="12"/>
        <v>0.73539105243400948</v>
      </c>
      <c r="BN74" s="54">
        <v>8</v>
      </c>
      <c r="BO74" s="51">
        <v>0.26</v>
      </c>
      <c r="BP74" s="49" t="s">
        <v>119</v>
      </c>
      <c r="BQ74" s="49">
        <v>2.4500000000000002</v>
      </c>
      <c r="BR74" s="51">
        <f t="shared" si="13"/>
        <v>0.48083261120685239</v>
      </c>
      <c r="BS74" s="52">
        <v>8</v>
      </c>
      <c r="BT74" s="51">
        <v>0.17</v>
      </c>
      <c r="BU74" s="29" t="s">
        <v>119</v>
      </c>
      <c r="BV74" s="26">
        <v>1</v>
      </c>
      <c r="BW74" s="26" t="s">
        <v>362</v>
      </c>
      <c r="BX74" s="26" t="s">
        <v>363</v>
      </c>
      <c r="BY74" s="26" t="s">
        <v>119</v>
      </c>
      <c r="BZ74" s="25" t="s">
        <v>364</v>
      </c>
    </row>
    <row r="75" spans="2:78" s="26" customFormat="1" ht="15" customHeight="1" x14ac:dyDescent="0.35">
      <c r="B75" s="26" t="s">
        <v>327</v>
      </c>
      <c r="C75" s="26" t="s">
        <v>343</v>
      </c>
      <c r="D75" s="26">
        <v>2004</v>
      </c>
      <c r="E75" s="26" t="s">
        <v>154</v>
      </c>
      <c r="F75" s="26" t="s">
        <v>173</v>
      </c>
      <c r="G75" s="26" t="s">
        <v>344</v>
      </c>
      <c r="H75" s="26" t="s">
        <v>345</v>
      </c>
      <c r="I75" s="26" t="s">
        <v>346</v>
      </c>
      <c r="J75" s="25" t="s">
        <v>347</v>
      </c>
      <c r="K75" s="25">
        <v>4</v>
      </c>
      <c r="L75" s="25">
        <v>182.5</v>
      </c>
      <c r="M75" s="25">
        <v>365</v>
      </c>
      <c r="N75" s="25" t="s">
        <v>119</v>
      </c>
      <c r="O75" s="25" t="s">
        <v>34</v>
      </c>
      <c r="P75" s="26" t="s">
        <v>32</v>
      </c>
      <c r="Q75" s="26" t="s">
        <v>33</v>
      </c>
      <c r="R75" s="26" t="s">
        <v>119</v>
      </c>
      <c r="S75" s="26" t="s">
        <v>119</v>
      </c>
      <c r="T75" s="26" t="s">
        <v>119</v>
      </c>
      <c r="U75" s="26" t="s">
        <v>119</v>
      </c>
      <c r="V75" s="26" t="s">
        <v>119</v>
      </c>
      <c r="W75" s="26" t="s">
        <v>119</v>
      </c>
      <c r="X75" s="26">
        <v>42</v>
      </c>
      <c r="Y75" s="26" t="s">
        <v>34</v>
      </c>
      <c r="Z75" s="26">
        <v>42</v>
      </c>
      <c r="AA75" s="26" t="s">
        <v>34</v>
      </c>
      <c r="AB75" s="33" t="s">
        <v>119</v>
      </c>
      <c r="AC75" s="33" t="s">
        <v>119</v>
      </c>
      <c r="AD75" s="33" t="s">
        <v>119</v>
      </c>
      <c r="AE75" s="33" t="s">
        <v>119</v>
      </c>
      <c r="AF75" s="33" t="s">
        <v>119</v>
      </c>
      <c r="AG75" s="33">
        <v>0.230136986301369</v>
      </c>
      <c r="AH75" s="33">
        <v>0.230136986301369</v>
      </c>
      <c r="AI75" s="26" t="s">
        <v>119</v>
      </c>
      <c r="AJ75" s="26">
        <v>0</v>
      </c>
      <c r="AK75" s="26" t="s">
        <v>34</v>
      </c>
      <c r="AL75" s="26">
        <v>0</v>
      </c>
      <c r="AM75" s="26" t="s">
        <v>37</v>
      </c>
      <c r="AN75" s="26" t="s">
        <v>119</v>
      </c>
      <c r="AO75" s="26" t="s">
        <v>119</v>
      </c>
      <c r="AP75" s="26" t="s">
        <v>38</v>
      </c>
      <c r="AQ75" s="26" t="s">
        <v>119</v>
      </c>
      <c r="AR75" s="26" t="s">
        <v>119</v>
      </c>
      <c r="AS75" s="26">
        <v>2</v>
      </c>
      <c r="AT75" s="26" t="s">
        <v>58</v>
      </c>
      <c r="AU75" s="26" t="s">
        <v>348</v>
      </c>
      <c r="AV75" s="26" t="s">
        <v>119</v>
      </c>
      <c r="AW75" s="26" t="s">
        <v>229</v>
      </c>
      <c r="AX75" s="55">
        <v>1</v>
      </c>
      <c r="AY75" s="26" t="s">
        <v>119</v>
      </c>
      <c r="AZ75" s="26" t="s">
        <v>119</v>
      </c>
      <c r="BA75" s="26" t="s">
        <v>119</v>
      </c>
      <c r="BB75" s="26" t="s">
        <v>97</v>
      </c>
      <c r="BC75" s="26" t="s">
        <v>178</v>
      </c>
      <c r="BD75" s="28" t="s">
        <v>395</v>
      </c>
      <c r="BE75" s="26" t="s">
        <v>185</v>
      </c>
      <c r="BF75" s="28" t="s">
        <v>350</v>
      </c>
      <c r="BG75" s="26" t="s">
        <v>141</v>
      </c>
      <c r="BH75" s="26">
        <v>10</v>
      </c>
      <c r="BI75" s="26">
        <v>20</v>
      </c>
      <c r="BJ75" s="54">
        <v>-10</v>
      </c>
      <c r="BK75" s="54" t="s">
        <v>262</v>
      </c>
      <c r="BL75" s="49">
        <v>2.3199999999999998</v>
      </c>
      <c r="BM75" s="54">
        <f t="shared" si="12"/>
        <v>1.8384776310850237</v>
      </c>
      <c r="BN75" s="54">
        <v>8</v>
      </c>
      <c r="BO75" s="51">
        <v>0.65</v>
      </c>
      <c r="BP75" s="49" t="s">
        <v>119</v>
      </c>
      <c r="BQ75" s="49">
        <v>2.65</v>
      </c>
      <c r="BR75" s="51">
        <f t="shared" si="13"/>
        <v>0.82024386617639511</v>
      </c>
      <c r="BS75" s="52">
        <v>8</v>
      </c>
      <c r="BT75" s="51">
        <v>0.28999999999999998</v>
      </c>
      <c r="BU75" s="29" t="s">
        <v>119</v>
      </c>
      <c r="BV75" s="26">
        <v>1</v>
      </c>
      <c r="BW75" s="26" t="s">
        <v>362</v>
      </c>
      <c r="BX75" s="26" t="s">
        <v>363</v>
      </c>
      <c r="BY75" s="26" t="s">
        <v>119</v>
      </c>
      <c r="BZ75" s="25" t="s">
        <v>364</v>
      </c>
    </row>
    <row r="76" spans="2:78" s="26" customFormat="1" ht="15" customHeight="1" x14ac:dyDescent="0.35">
      <c r="B76" s="26" t="s">
        <v>327</v>
      </c>
      <c r="C76" s="26" t="s">
        <v>343</v>
      </c>
      <c r="D76" s="26">
        <v>2004</v>
      </c>
      <c r="E76" s="26" t="s">
        <v>154</v>
      </c>
      <c r="F76" s="26" t="s">
        <v>173</v>
      </c>
      <c r="G76" s="26" t="s">
        <v>344</v>
      </c>
      <c r="H76" s="26" t="s">
        <v>345</v>
      </c>
      <c r="I76" s="26" t="s">
        <v>346</v>
      </c>
      <c r="J76" s="25" t="s">
        <v>347</v>
      </c>
      <c r="K76" s="25">
        <v>4</v>
      </c>
      <c r="L76" s="25">
        <v>182.5</v>
      </c>
      <c r="M76" s="25">
        <v>365</v>
      </c>
      <c r="N76" s="25" t="s">
        <v>119</v>
      </c>
      <c r="O76" s="25" t="s">
        <v>34</v>
      </c>
      <c r="P76" s="26" t="s">
        <v>32</v>
      </c>
      <c r="Q76" s="26" t="s">
        <v>33</v>
      </c>
      <c r="R76" s="26" t="s">
        <v>119</v>
      </c>
      <c r="S76" s="26" t="s">
        <v>119</v>
      </c>
      <c r="T76" s="26" t="s">
        <v>119</v>
      </c>
      <c r="U76" s="26" t="s">
        <v>119</v>
      </c>
      <c r="V76" s="26" t="s">
        <v>119</v>
      </c>
      <c r="W76" s="26" t="s">
        <v>119</v>
      </c>
      <c r="X76" s="26">
        <v>42</v>
      </c>
      <c r="Y76" s="26" t="s">
        <v>34</v>
      </c>
      <c r="Z76" s="26">
        <v>42</v>
      </c>
      <c r="AA76" s="26" t="s">
        <v>34</v>
      </c>
      <c r="AB76" s="33" t="s">
        <v>119</v>
      </c>
      <c r="AC76" s="33" t="s">
        <v>119</v>
      </c>
      <c r="AD76" s="33" t="s">
        <v>119</v>
      </c>
      <c r="AE76" s="33" t="s">
        <v>119</v>
      </c>
      <c r="AF76" s="33" t="s">
        <v>119</v>
      </c>
      <c r="AG76" s="33">
        <v>0.230136986301369</v>
      </c>
      <c r="AH76" s="33">
        <v>0.230136986301369</v>
      </c>
      <c r="AI76" s="26" t="s">
        <v>119</v>
      </c>
      <c r="AJ76" s="26">
        <v>0</v>
      </c>
      <c r="AK76" s="26" t="s">
        <v>34</v>
      </c>
      <c r="AL76" s="26">
        <v>0</v>
      </c>
      <c r="AM76" s="26" t="s">
        <v>37</v>
      </c>
      <c r="AN76" s="26" t="s">
        <v>119</v>
      </c>
      <c r="AO76" s="26" t="s">
        <v>119</v>
      </c>
      <c r="AP76" s="26" t="s">
        <v>38</v>
      </c>
      <c r="AQ76" s="26" t="s">
        <v>119</v>
      </c>
      <c r="AR76" s="26" t="s">
        <v>119</v>
      </c>
      <c r="AS76" s="26">
        <v>2</v>
      </c>
      <c r="AT76" s="26" t="s">
        <v>58</v>
      </c>
      <c r="AU76" s="26" t="s">
        <v>348</v>
      </c>
      <c r="AV76" s="26" t="s">
        <v>119</v>
      </c>
      <c r="AW76" s="26" t="s">
        <v>229</v>
      </c>
      <c r="AX76" s="55">
        <v>1</v>
      </c>
      <c r="AY76" s="26" t="s">
        <v>119</v>
      </c>
      <c r="AZ76" s="26" t="s">
        <v>119</v>
      </c>
      <c r="BA76" s="26" t="s">
        <v>119</v>
      </c>
      <c r="BB76" s="26" t="s">
        <v>97</v>
      </c>
      <c r="BC76" s="26" t="s">
        <v>178</v>
      </c>
      <c r="BD76" s="28" t="s">
        <v>396</v>
      </c>
      <c r="BE76" s="26" t="s">
        <v>185</v>
      </c>
      <c r="BF76" s="28" t="s">
        <v>350</v>
      </c>
      <c r="BG76" s="26" t="s">
        <v>141</v>
      </c>
      <c r="BH76" s="26">
        <v>10</v>
      </c>
      <c r="BI76" s="26">
        <v>20</v>
      </c>
      <c r="BJ76" s="54">
        <v>-10</v>
      </c>
      <c r="BK76" s="54" t="s">
        <v>262</v>
      </c>
      <c r="BL76" s="49">
        <v>2.74</v>
      </c>
      <c r="BM76" s="54">
        <f t="shared" si="12"/>
        <v>0.82024386617639511</v>
      </c>
      <c r="BN76" s="54">
        <v>8</v>
      </c>
      <c r="BO76" s="51">
        <v>0.28999999999999998</v>
      </c>
      <c r="BP76" s="49" t="s">
        <v>119</v>
      </c>
      <c r="BQ76" s="49">
        <v>2.4</v>
      </c>
      <c r="BR76" s="51">
        <f t="shared" si="13"/>
        <v>1.1030865786510142</v>
      </c>
      <c r="BS76" s="52">
        <v>8</v>
      </c>
      <c r="BT76" s="51">
        <v>0.39</v>
      </c>
      <c r="BU76" s="29" t="s">
        <v>119</v>
      </c>
      <c r="BV76" s="26">
        <v>1</v>
      </c>
      <c r="BW76" s="26" t="s">
        <v>362</v>
      </c>
      <c r="BX76" s="26" t="s">
        <v>363</v>
      </c>
      <c r="BY76" s="26" t="s">
        <v>119</v>
      </c>
      <c r="BZ76" s="25" t="s">
        <v>364</v>
      </c>
    </row>
    <row r="77" spans="2:78" s="26" customFormat="1" ht="15" customHeight="1" x14ac:dyDescent="0.35">
      <c r="B77" s="26" t="s">
        <v>327</v>
      </c>
      <c r="C77" s="26" t="s">
        <v>343</v>
      </c>
      <c r="D77" s="26">
        <v>2004</v>
      </c>
      <c r="E77" s="26" t="s">
        <v>154</v>
      </c>
      <c r="F77" s="26" t="s">
        <v>173</v>
      </c>
      <c r="G77" s="26" t="s">
        <v>344</v>
      </c>
      <c r="H77" s="26" t="s">
        <v>345</v>
      </c>
      <c r="I77" s="26" t="s">
        <v>346</v>
      </c>
      <c r="J77" s="25" t="s">
        <v>347</v>
      </c>
      <c r="K77" s="25">
        <v>4</v>
      </c>
      <c r="L77" s="25">
        <v>182.5</v>
      </c>
      <c r="M77" s="25">
        <v>365</v>
      </c>
      <c r="N77" s="25" t="s">
        <v>119</v>
      </c>
      <c r="O77" s="25" t="s">
        <v>34</v>
      </c>
      <c r="P77" s="26" t="s">
        <v>32</v>
      </c>
      <c r="Q77" s="26" t="s">
        <v>33</v>
      </c>
      <c r="R77" s="26" t="s">
        <v>119</v>
      </c>
      <c r="S77" s="26" t="s">
        <v>119</v>
      </c>
      <c r="T77" s="26" t="s">
        <v>119</v>
      </c>
      <c r="U77" s="26" t="s">
        <v>119</v>
      </c>
      <c r="V77" s="26" t="s">
        <v>119</v>
      </c>
      <c r="W77" s="26" t="s">
        <v>119</v>
      </c>
      <c r="X77" s="26">
        <v>42</v>
      </c>
      <c r="Y77" s="26" t="s">
        <v>34</v>
      </c>
      <c r="Z77" s="26">
        <v>42</v>
      </c>
      <c r="AA77" s="26" t="s">
        <v>34</v>
      </c>
      <c r="AB77" s="33" t="s">
        <v>119</v>
      </c>
      <c r="AC77" s="33" t="s">
        <v>119</v>
      </c>
      <c r="AD77" s="33" t="s">
        <v>119</v>
      </c>
      <c r="AE77" s="33" t="s">
        <v>119</v>
      </c>
      <c r="AF77" s="33" t="s">
        <v>119</v>
      </c>
      <c r="AG77" s="33">
        <v>0.230136986301369</v>
      </c>
      <c r="AH77" s="33">
        <v>0.230136986301369</v>
      </c>
      <c r="AI77" s="26" t="s">
        <v>119</v>
      </c>
      <c r="AJ77" s="26">
        <v>0</v>
      </c>
      <c r="AK77" s="26" t="s">
        <v>34</v>
      </c>
      <c r="AL77" s="26">
        <v>0</v>
      </c>
      <c r="AM77" s="26" t="s">
        <v>37</v>
      </c>
      <c r="AN77" s="26" t="s">
        <v>119</v>
      </c>
      <c r="AO77" s="26" t="s">
        <v>119</v>
      </c>
      <c r="AP77" s="26" t="s">
        <v>38</v>
      </c>
      <c r="AQ77" s="26" t="s">
        <v>119</v>
      </c>
      <c r="AR77" s="26" t="s">
        <v>119</v>
      </c>
      <c r="AS77" s="26">
        <v>2</v>
      </c>
      <c r="AT77" s="26" t="s">
        <v>58</v>
      </c>
      <c r="AU77" s="26" t="s">
        <v>348</v>
      </c>
      <c r="AV77" s="26" t="s">
        <v>119</v>
      </c>
      <c r="AW77" s="26" t="s">
        <v>229</v>
      </c>
      <c r="AX77" s="55">
        <v>1</v>
      </c>
      <c r="AY77" s="26" t="s">
        <v>119</v>
      </c>
      <c r="AZ77" s="26" t="s">
        <v>119</v>
      </c>
      <c r="BA77" s="26" t="s">
        <v>119</v>
      </c>
      <c r="BB77" s="26" t="s">
        <v>97</v>
      </c>
      <c r="BC77" s="26" t="s">
        <v>178</v>
      </c>
      <c r="BD77" s="28" t="s">
        <v>397</v>
      </c>
      <c r="BE77" s="26" t="s">
        <v>185</v>
      </c>
      <c r="BF77" s="28" t="s">
        <v>350</v>
      </c>
      <c r="BG77" s="26" t="s">
        <v>141</v>
      </c>
      <c r="BH77" s="26">
        <v>10</v>
      </c>
      <c r="BI77" s="26">
        <v>20</v>
      </c>
      <c r="BJ77" s="54">
        <v>-10</v>
      </c>
      <c r="BK77" s="54" t="s">
        <v>262</v>
      </c>
      <c r="BL77" s="49">
        <v>3.03</v>
      </c>
      <c r="BM77" s="54">
        <f t="shared" si="12"/>
        <v>1.0465180361560904</v>
      </c>
      <c r="BN77" s="54">
        <v>8</v>
      </c>
      <c r="BO77" s="51">
        <v>0.37</v>
      </c>
      <c r="BP77" s="49" t="s">
        <v>119</v>
      </c>
      <c r="BQ77" s="49">
        <v>3.66</v>
      </c>
      <c r="BR77" s="51">
        <f t="shared" si="13"/>
        <v>0.98994949366116658</v>
      </c>
      <c r="BS77" s="52">
        <v>8</v>
      </c>
      <c r="BT77" s="51">
        <v>0.35</v>
      </c>
      <c r="BU77" s="29" t="s">
        <v>119</v>
      </c>
      <c r="BV77" s="26">
        <v>1</v>
      </c>
      <c r="BW77" s="26" t="s">
        <v>362</v>
      </c>
      <c r="BX77" s="26" t="s">
        <v>363</v>
      </c>
      <c r="BY77" s="26" t="s">
        <v>119</v>
      </c>
      <c r="BZ77" s="25" t="s">
        <v>364</v>
      </c>
    </row>
    <row r="78" spans="2:78" s="26" customFormat="1" ht="15" customHeight="1" x14ac:dyDescent="0.35">
      <c r="B78" s="26" t="s">
        <v>327</v>
      </c>
      <c r="C78" s="26" t="s">
        <v>343</v>
      </c>
      <c r="D78" s="26">
        <v>2004</v>
      </c>
      <c r="E78" s="26" t="s">
        <v>154</v>
      </c>
      <c r="F78" s="26" t="s">
        <v>173</v>
      </c>
      <c r="G78" s="26" t="s">
        <v>344</v>
      </c>
      <c r="H78" s="26" t="s">
        <v>345</v>
      </c>
      <c r="I78" s="26" t="s">
        <v>346</v>
      </c>
      <c r="J78" s="25" t="s">
        <v>347</v>
      </c>
      <c r="K78" s="25">
        <v>4</v>
      </c>
      <c r="L78" s="25">
        <v>182.5</v>
      </c>
      <c r="M78" s="25">
        <v>365</v>
      </c>
      <c r="N78" s="25" t="s">
        <v>119</v>
      </c>
      <c r="O78" s="25" t="s">
        <v>34</v>
      </c>
      <c r="P78" s="26" t="s">
        <v>32</v>
      </c>
      <c r="Q78" s="26" t="s">
        <v>33</v>
      </c>
      <c r="R78" s="26" t="s">
        <v>119</v>
      </c>
      <c r="S78" s="26" t="s">
        <v>119</v>
      </c>
      <c r="T78" s="26" t="s">
        <v>119</v>
      </c>
      <c r="U78" s="26" t="s">
        <v>119</v>
      </c>
      <c r="V78" s="26" t="s">
        <v>119</v>
      </c>
      <c r="W78" s="26" t="s">
        <v>119</v>
      </c>
      <c r="X78" s="26">
        <v>42</v>
      </c>
      <c r="Y78" s="26" t="s">
        <v>34</v>
      </c>
      <c r="Z78" s="26">
        <v>42</v>
      </c>
      <c r="AA78" s="26" t="s">
        <v>34</v>
      </c>
      <c r="AB78" s="33" t="s">
        <v>119</v>
      </c>
      <c r="AC78" s="33" t="s">
        <v>119</v>
      </c>
      <c r="AD78" s="33" t="s">
        <v>119</v>
      </c>
      <c r="AE78" s="33" t="s">
        <v>119</v>
      </c>
      <c r="AF78" s="33" t="s">
        <v>119</v>
      </c>
      <c r="AG78" s="33">
        <v>0.230136986301369</v>
      </c>
      <c r="AH78" s="33">
        <v>0.230136986301369</v>
      </c>
      <c r="AI78" s="26" t="s">
        <v>119</v>
      </c>
      <c r="AJ78" s="26">
        <v>0</v>
      </c>
      <c r="AK78" s="26" t="s">
        <v>34</v>
      </c>
      <c r="AL78" s="26">
        <v>0</v>
      </c>
      <c r="AM78" s="26" t="s">
        <v>37</v>
      </c>
      <c r="AN78" s="26" t="s">
        <v>119</v>
      </c>
      <c r="AO78" s="26" t="s">
        <v>119</v>
      </c>
      <c r="AP78" s="26" t="s">
        <v>38</v>
      </c>
      <c r="AQ78" s="26" t="s">
        <v>119</v>
      </c>
      <c r="AR78" s="26" t="s">
        <v>119</v>
      </c>
      <c r="AS78" s="26">
        <v>2</v>
      </c>
      <c r="AT78" s="26" t="s">
        <v>58</v>
      </c>
      <c r="AU78" s="26" t="s">
        <v>348</v>
      </c>
      <c r="AV78" s="26" t="s">
        <v>119</v>
      </c>
      <c r="AW78" s="26" t="s">
        <v>229</v>
      </c>
      <c r="AX78" s="55">
        <v>1</v>
      </c>
      <c r="AY78" s="26" t="s">
        <v>119</v>
      </c>
      <c r="AZ78" s="26" t="s">
        <v>119</v>
      </c>
      <c r="BA78" s="26" t="s">
        <v>119</v>
      </c>
      <c r="BB78" s="26" t="s">
        <v>97</v>
      </c>
      <c r="BC78" s="26" t="s">
        <v>178</v>
      </c>
      <c r="BD78" s="28" t="s">
        <v>398</v>
      </c>
      <c r="BE78" s="26" t="s">
        <v>185</v>
      </c>
      <c r="BF78" s="28" t="s">
        <v>350</v>
      </c>
      <c r="BG78" s="26" t="s">
        <v>141</v>
      </c>
      <c r="BH78" s="26">
        <v>10</v>
      </c>
      <c r="BI78" s="26">
        <v>20</v>
      </c>
      <c r="BJ78" s="54">
        <v>-10</v>
      </c>
      <c r="BK78" s="54" t="s">
        <v>262</v>
      </c>
      <c r="BL78" s="49">
        <v>3.79</v>
      </c>
      <c r="BM78" s="54">
        <f t="shared" si="12"/>
        <v>0.79195959492893331</v>
      </c>
      <c r="BN78" s="54">
        <v>8</v>
      </c>
      <c r="BO78" s="51">
        <v>0.28000000000000003</v>
      </c>
      <c r="BP78" s="49" t="s">
        <v>119</v>
      </c>
      <c r="BQ78" s="49">
        <v>3.23</v>
      </c>
      <c r="BR78" s="51">
        <f t="shared" si="13"/>
        <v>0.50911688245431419</v>
      </c>
      <c r="BS78" s="52">
        <v>8</v>
      </c>
      <c r="BT78" s="51">
        <v>0.18</v>
      </c>
      <c r="BU78" s="29" t="s">
        <v>119</v>
      </c>
      <c r="BV78" s="26">
        <v>1</v>
      </c>
      <c r="BW78" s="26" t="s">
        <v>362</v>
      </c>
      <c r="BX78" s="26" t="s">
        <v>363</v>
      </c>
      <c r="BY78" s="26" t="s">
        <v>119</v>
      </c>
      <c r="BZ78" s="25" t="s">
        <v>364</v>
      </c>
    </row>
    <row r="79" spans="2:78" s="26" customFormat="1" ht="15" customHeight="1" x14ac:dyDescent="0.35">
      <c r="B79" s="26" t="s">
        <v>327</v>
      </c>
      <c r="C79" s="26" t="s">
        <v>343</v>
      </c>
      <c r="D79" s="26">
        <v>2004</v>
      </c>
      <c r="E79" s="26" t="s">
        <v>154</v>
      </c>
      <c r="F79" s="26" t="s">
        <v>173</v>
      </c>
      <c r="G79" s="26" t="s">
        <v>344</v>
      </c>
      <c r="H79" s="26" t="s">
        <v>345</v>
      </c>
      <c r="I79" s="26" t="s">
        <v>346</v>
      </c>
      <c r="J79" s="25" t="s">
        <v>347</v>
      </c>
      <c r="K79" s="25">
        <v>4</v>
      </c>
      <c r="L79" s="25">
        <v>182.5</v>
      </c>
      <c r="M79" s="25">
        <v>365</v>
      </c>
      <c r="N79" s="25" t="s">
        <v>119</v>
      </c>
      <c r="O79" s="25" t="s">
        <v>34</v>
      </c>
      <c r="P79" s="26" t="s">
        <v>32</v>
      </c>
      <c r="Q79" s="26" t="s">
        <v>33</v>
      </c>
      <c r="R79" s="26" t="s">
        <v>119</v>
      </c>
      <c r="S79" s="26" t="s">
        <v>119</v>
      </c>
      <c r="T79" s="26" t="s">
        <v>119</v>
      </c>
      <c r="U79" s="26" t="s">
        <v>119</v>
      </c>
      <c r="V79" s="26" t="s">
        <v>119</v>
      </c>
      <c r="W79" s="26" t="s">
        <v>119</v>
      </c>
      <c r="X79" s="26">
        <v>42</v>
      </c>
      <c r="Y79" s="26" t="s">
        <v>34</v>
      </c>
      <c r="Z79" s="26">
        <v>42</v>
      </c>
      <c r="AA79" s="26" t="s">
        <v>34</v>
      </c>
      <c r="AB79" s="33" t="s">
        <v>119</v>
      </c>
      <c r="AC79" s="33" t="s">
        <v>119</v>
      </c>
      <c r="AD79" s="33" t="s">
        <v>119</v>
      </c>
      <c r="AE79" s="33" t="s">
        <v>119</v>
      </c>
      <c r="AF79" s="33" t="s">
        <v>119</v>
      </c>
      <c r="AG79" s="33">
        <v>0.230136986301369</v>
      </c>
      <c r="AH79" s="33">
        <v>0.230136986301369</v>
      </c>
      <c r="AI79" s="26" t="s">
        <v>119</v>
      </c>
      <c r="AJ79" s="26">
        <v>0</v>
      </c>
      <c r="AK79" s="26" t="s">
        <v>34</v>
      </c>
      <c r="AL79" s="26">
        <v>0</v>
      </c>
      <c r="AM79" s="26" t="s">
        <v>37</v>
      </c>
      <c r="AN79" s="26" t="s">
        <v>119</v>
      </c>
      <c r="AO79" s="26" t="s">
        <v>119</v>
      </c>
      <c r="AP79" s="26" t="s">
        <v>38</v>
      </c>
      <c r="AQ79" s="26" t="s">
        <v>119</v>
      </c>
      <c r="AR79" s="26" t="s">
        <v>119</v>
      </c>
      <c r="AS79" s="26">
        <v>2</v>
      </c>
      <c r="AT79" s="26" t="s">
        <v>58</v>
      </c>
      <c r="AU79" s="26" t="s">
        <v>348</v>
      </c>
      <c r="AV79" s="26" t="s">
        <v>119</v>
      </c>
      <c r="AW79" s="26" t="s">
        <v>229</v>
      </c>
      <c r="AX79" s="55">
        <v>1</v>
      </c>
      <c r="AY79" s="26" t="s">
        <v>119</v>
      </c>
      <c r="AZ79" s="26" t="s">
        <v>119</v>
      </c>
      <c r="BA79" s="26" t="s">
        <v>119</v>
      </c>
      <c r="BB79" s="26" t="s">
        <v>97</v>
      </c>
      <c r="BC79" s="26" t="s">
        <v>178</v>
      </c>
      <c r="BD79" s="28" t="s">
        <v>399</v>
      </c>
      <c r="BE79" s="26" t="s">
        <v>185</v>
      </c>
      <c r="BF79" s="28" t="s">
        <v>350</v>
      </c>
      <c r="BG79" s="26" t="s">
        <v>141</v>
      </c>
      <c r="BH79" s="26">
        <v>10</v>
      </c>
      <c r="BI79" s="26">
        <v>20</v>
      </c>
      <c r="BJ79" s="54">
        <v>-10</v>
      </c>
      <c r="BK79" s="54" t="s">
        <v>262</v>
      </c>
      <c r="BL79" s="49">
        <v>3.01</v>
      </c>
      <c r="BM79" s="54">
        <f t="shared" si="12"/>
        <v>1.2162236636408619</v>
      </c>
      <c r="BN79" s="54">
        <v>8</v>
      </c>
      <c r="BO79" s="51">
        <v>0.43</v>
      </c>
      <c r="BP79" s="49" t="s">
        <v>119</v>
      </c>
      <c r="BQ79" s="49">
        <v>2.37</v>
      </c>
      <c r="BR79" s="51">
        <f t="shared" si="13"/>
        <v>0.39597979746446665</v>
      </c>
      <c r="BS79" s="52">
        <v>8</v>
      </c>
      <c r="BT79" s="51">
        <v>0.14000000000000001</v>
      </c>
      <c r="BU79" s="29" t="s">
        <v>119</v>
      </c>
      <c r="BV79" s="26">
        <v>1</v>
      </c>
      <c r="BW79" s="26" t="s">
        <v>362</v>
      </c>
      <c r="BX79" s="26" t="s">
        <v>363</v>
      </c>
      <c r="BY79" s="26" t="s">
        <v>119</v>
      </c>
      <c r="BZ79" s="25" t="s">
        <v>364</v>
      </c>
    </row>
    <row r="80" spans="2:78" s="26" customFormat="1" ht="15" customHeight="1" x14ac:dyDescent="0.35">
      <c r="B80" s="26" t="s">
        <v>327</v>
      </c>
      <c r="C80" s="26" t="s">
        <v>343</v>
      </c>
      <c r="D80" s="26">
        <v>2004</v>
      </c>
      <c r="E80" s="26" t="s">
        <v>154</v>
      </c>
      <c r="F80" s="26" t="s">
        <v>173</v>
      </c>
      <c r="G80" s="26" t="s">
        <v>344</v>
      </c>
      <c r="H80" s="26" t="s">
        <v>345</v>
      </c>
      <c r="I80" s="26" t="s">
        <v>346</v>
      </c>
      <c r="J80" s="25" t="s">
        <v>347</v>
      </c>
      <c r="K80" s="25">
        <v>4</v>
      </c>
      <c r="L80" s="25">
        <v>182.5</v>
      </c>
      <c r="M80" s="25">
        <v>365</v>
      </c>
      <c r="N80" s="25" t="s">
        <v>119</v>
      </c>
      <c r="O80" s="25" t="s">
        <v>34</v>
      </c>
      <c r="P80" s="26" t="s">
        <v>32</v>
      </c>
      <c r="Q80" s="26" t="s">
        <v>33</v>
      </c>
      <c r="R80" s="26" t="s">
        <v>119</v>
      </c>
      <c r="S80" s="26" t="s">
        <v>119</v>
      </c>
      <c r="T80" s="26" t="s">
        <v>119</v>
      </c>
      <c r="U80" s="26" t="s">
        <v>119</v>
      </c>
      <c r="V80" s="26" t="s">
        <v>119</v>
      </c>
      <c r="W80" s="26" t="s">
        <v>119</v>
      </c>
      <c r="X80" s="26">
        <v>42</v>
      </c>
      <c r="Y80" s="26" t="s">
        <v>34</v>
      </c>
      <c r="Z80" s="26">
        <v>42</v>
      </c>
      <c r="AA80" s="26" t="s">
        <v>34</v>
      </c>
      <c r="AB80" s="33" t="s">
        <v>119</v>
      </c>
      <c r="AC80" s="33" t="s">
        <v>119</v>
      </c>
      <c r="AD80" s="33" t="s">
        <v>119</v>
      </c>
      <c r="AE80" s="33" t="s">
        <v>119</v>
      </c>
      <c r="AF80" s="33" t="s">
        <v>119</v>
      </c>
      <c r="AG80" s="33">
        <v>0.230136986301369</v>
      </c>
      <c r="AH80" s="33">
        <v>0.230136986301369</v>
      </c>
      <c r="AI80" s="26" t="s">
        <v>119</v>
      </c>
      <c r="AJ80" s="26">
        <v>0</v>
      </c>
      <c r="AK80" s="26" t="s">
        <v>34</v>
      </c>
      <c r="AL80" s="26">
        <v>0</v>
      </c>
      <c r="AM80" s="26" t="s">
        <v>37</v>
      </c>
      <c r="AN80" s="26" t="s">
        <v>119</v>
      </c>
      <c r="AO80" s="26" t="s">
        <v>119</v>
      </c>
      <c r="AP80" s="26" t="s">
        <v>38</v>
      </c>
      <c r="AQ80" s="26" t="s">
        <v>119</v>
      </c>
      <c r="AR80" s="26" t="s">
        <v>119</v>
      </c>
      <c r="AS80" s="26">
        <v>2</v>
      </c>
      <c r="AT80" s="26" t="s">
        <v>58</v>
      </c>
      <c r="AU80" s="26" t="s">
        <v>348</v>
      </c>
      <c r="AV80" s="26" t="s">
        <v>119</v>
      </c>
      <c r="AW80" s="26" t="s">
        <v>229</v>
      </c>
      <c r="AX80" s="55">
        <v>1</v>
      </c>
      <c r="AY80" s="26" t="s">
        <v>119</v>
      </c>
      <c r="AZ80" s="26" t="s">
        <v>119</v>
      </c>
      <c r="BA80" s="26" t="s">
        <v>119</v>
      </c>
      <c r="BB80" s="26" t="s">
        <v>97</v>
      </c>
      <c r="BC80" s="26" t="s">
        <v>178</v>
      </c>
      <c r="BD80" s="28" t="s">
        <v>400</v>
      </c>
      <c r="BE80" s="26" t="s">
        <v>185</v>
      </c>
      <c r="BF80" s="28" t="s">
        <v>350</v>
      </c>
      <c r="BG80" s="26" t="s">
        <v>141</v>
      </c>
      <c r="BH80" s="26">
        <v>10</v>
      </c>
      <c r="BI80" s="26">
        <v>20</v>
      </c>
      <c r="BJ80" s="54">
        <v>-10</v>
      </c>
      <c r="BK80" s="54" t="s">
        <v>262</v>
      </c>
      <c r="BL80" s="49">
        <v>2.66</v>
      </c>
      <c r="BM80" s="54">
        <f t="shared" si="12"/>
        <v>0.45254833995939048</v>
      </c>
      <c r="BN80" s="54">
        <v>8</v>
      </c>
      <c r="BO80" s="51">
        <v>0.16</v>
      </c>
      <c r="BP80" s="49" t="s">
        <v>119</v>
      </c>
      <c r="BQ80" s="49">
        <v>2.95</v>
      </c>
      <c r="BR80" s="51">
        <f t="shared" si="13"/>
        <v>0.62225396744416184</v>
      </c>
      <c r="BS80" s="52">
        <v>8</v>
      </c>
      <c r="BT80" s="51">
        <v>0.22</v>
      </c>
      <c r="BU80" s="29" t="s">
        <v>119</v>
      </c>
      <c r="BV80" s="26">
        <v>1</v>
      </c>
      <c r="BW80" s="26" t="s">
        <v>362</v>
      </c>
      <c r="BX80" s="26" t="s">
        <v>363</v>
      </c>
      <c r="BY80" s="26" t="s">
        <v>119</v>
      </c>
      <c r="BZ80" s="25" t="s">
        <v>364</v>
      </c>
    </row>
    <row r="81" spans="2:78" s="26" customFormat="1" ht="15" customHeight="1" x14ac:dyDescent="0.35">
      <c r="B81" s="26" t="s">
        <v>327</v>
      </c>
      <c r="C81" s="26" t="s">
        <v>343</v>
      </c>
      <c r="D81" s="26">
        <v>2004</v>
      </c>
      <c r="E81" s="26" t="s">
        <v>154</v>
      </c>
      <c r="F81" s="26" t="s">
        <v>173</v>
      </c>
      <c r="G81" s="26" t="s">
        <v>344</v>
      </c>
      <c r="H81" s="26" t="s">
        <v>345</v>
      </c>
      <c r="I81" s="26" t="s">
        <v>346</v>
      </c>
      <c r="J81" s="25" t="s">
        <v>347</v>
      </c>
      <c r="K81" s="25">
        <v>4</v>
      </c>
      <c r="L81" s="25">
        <v>182.5</v>
      </c>
      <c r="M81" s="25">
        <v>365</v>
      </c>
      <c r="N81" s="25" t="s">
        <v>119</v>
      </c>
      <c r="O81" s="25" t="s">
        <v>34</v>
      </c>
      <c r="P81" s="26" t="s">
        <v>32</v>
      </c>
      <c r="Q81" s="26" t="s">
        <v>33</v>
      </c>
      <c r="R81" s="26" t="s">
        <v>119</v>
      </c>
      <c r="S81" s="26" t="s">
        <v>119</v>
      </c>
      <c r="T81" s="26" t="s">
        <v>119</v>
      </c>
      <c r="U81" s="26" t="s">
        <v>119</v>
      </c>
      <c r="V81" s="26" t="s">
        <v>119</v>
      </c>
      <c r="W81" s="26" t="s">
        <v>119</v>
      </c>
      <c r="X81" s="26">
        <v>42</v>
      </c>
      <c r="Y81" s="26" t="s">
        <v>34</v>
      </c>
      <c r="Z81" s="26">
        <v>42</v>
      </c>
      <c r="AA81" s="26" t="s">
        <v>34</v>
      </c>
      <c r="AB81" s="33" t="s">
        <v>119</v>
      </c>
      <c r="AC81" s="33" t="s">
        <v>119</v>
      </c>
      <c r="AD81" s="33" t="s">
        <v>119</v>
      </c>
      <c r="AE81" s="33" t="s">
        <v>119</v>
      </c>
      <c r="AF81" s="33" t="s">
        <v>119</v>
      </c>
      <c r="AG81" s="33">
        <v>0.230136986301369</v>
      </c>
      <c r="AH81" s="33">
        <v>0.230136986301369</v>
      </c>
      <c r="AI81" s="26" t="s">
        <v>119</v>
      </c>
      <c r="AJ81" s="26">
        <v>0</v>
      </c>
      <c r="AK81" s="26" t="s">
        <v>34</v>
      </c>
      <c r="AL81" s="26">
        <v>0</v>
      </c>
      <c r="AM81" s="26" t="s">
        <v>37</v>
      </c>
      <c r="AN81" s="26" t="s">
        <v>119</v>
      </c>
      <c r="AO81" s="26" t="s">
        <v>119</v>
      </c>
      <c r="AP81" s="26" t="s">
        <v>38</v>
      </c>
      <c r="AQ81" s="26" t="s">
        <v>119</v>
      </c>
      <c r="AR81" s="26" t="s">
        <v>119</v>
      </c>
      <c r="AS81" s="26">
        <v>2</v>
      </c>
      <c r="AT81" s="26" t="s">
        <v>58</v>
      </c>
      <c r="AU81" s="26" t="s">
        <v>348</v>
      </c>
      <c r="AV81" s="26" t="s">
        <v>119</v>
      </c>
      <c r="AW81" s="26" t="s">
        <v>229</v>
      </c>
      <c r="AX81" s="55">
        <v>1</v>
      </c>
      <c r="AY81" s="26" t="s">
        <v>119</v>
      </c>
      <c r="AZ81" s="26" t="s">
        <v>119</v>
      </c>
      <c r="BA81" s="26" t="s">
        <v>119</v>
      </c>
      <c r="BB81" s="26" t="s">
        <v>97</v>
      </c>
      <c r="BC81" s="26" t="s">
        <v>178</v>
      </c>
      <c r="BD81" s="28" t="s">
        <v>401</v>
      </c>
      <c r="BE81" s="26" t="s">
        <v>185</v>
      </c>
      <c r="BF81" s="28" t="s">
        <v>350</v>
      </c>
      <c r="BG81" s="26" t="s">
        <v>141</v>
      </c>
      <c r="BH81" s="26">
        <v>10</v>
      </c>
      <c r="BI81" s="26">
        <v>20</v>
      </c>
      <c r="BJ81" s="54">
        <v>-10</v>
      </c>
      <c r="BK81" s="54" t="s">
        <v>262</v>
      </c>
      <c r="BL81" s="49">
        <v>3.31</v>
      </c>
      <c r="BM81" s="54">
        <f t="shared" si="12"/>
        <v>1.1313708498984762</v>
      </c>
      <c r="BN81" s="54">
        <v>8</v>
      </c>
      <c r="BO81" s="51">
        <v>0.4</v>
      </c>
      <c r="BP81" s="49" t="s">
        <v>119</v>
      </c>
      <c r="BQ81" s="49">
        <v>2.9</v>
      </c>
      <c r="BR81" s="51">
        <f t="shared" si="13"/>
        <v>0.67882250993908566</v>
      </c>
      <c r="BS81" s="52">
        <v>8</v>
      </c>
      <c r="BT81" s="51">
        <v>0.24</v>
      </c>
      <c r="BU81" s="29" t="s">
        <v>119</v>
      </c>
      <c r="BV81" s="26">
        <v>1</v>
      </c>
      <c r="BW81" s="26" t="s">
        <v>362</v>
      </c>
      <c r="BX81" s="26" t="s">
        <v>363</v>
      </c>
      <c r="BY81" s="26" t="s">
        <v>119</v>
      </c>
      <c r="BZ81" s="25" t="s">
        <v>364</v>
      </c>
    </row>
    <row r="82" spans="2:78" s="26" customFormat="1" ht="15" customHeight="1" x14ac:dyDescent="0.35">
      <c r="B82" s="26" t="s">
        <v>327</v>
      </c>
      <c r="C82" s="26" t="s">
        <v>343</v>
      </c>
      <c r="D82" s="26">
        <v>2004</v>
      </c>
      <c r="E82" s="26" t="s">
        <v>154</v>
      </c>
      <c r="F82" s="26" t="s">
        <v>173</v>
      </c>
      <c r="G82" s="26" t="s">
        <v>344</v>
      </c>
      <c r="H82" s="26" t="s">
        <v>345</v>
      </c>
      <c r="I82" s="26" t="s">
        <v>346</v>
      </c>
      <c r="J82" s="25" t="s">
        <v>347</v>
      </c>
      <c r="K82" s="25">
        <v>4</v>
      </c>
      <c r="L82" s="25">
        <v>182.5</v>
      </c>
      <c r="M82" s="25">
        <v>365</v>
      </c>
      <c r="N82" s="25" t="s">
        <v>119</v>
      </c>
      <c r="O82" s="25" t="s">
        <v>34</v>
      </c>
      <c r="P82" s="26" t="s">
        <v>32</v>
      </c>
      <c r="Q82" s="26" t="s">
        <v>33</v>
      </c>
      <c r="R82" s="26" t="s">
        <v>119</v>
      </c>
      <c r="S82" s="26" t="s">
        <v>119</v>
      </c>
      <c r="T82" s="26" t="s">
        <v>119</v>
      </c>
      <c r="U82" s="26" t="s">
        <v>119</v>
      </c>
      <c r="V82" s="26" t="s">
        <v>119</v>
      </c>
      <c r="W82" s="26" t="s">
        <v>119</v>
      </c>
      <c r="X82" s="26">
        <v>42</v>
      </c>
      <c r="Y82" s="26" t="s">
        <v>34</v>
      </c>
      <c r="Z82" s="26">
        <v>42</v>
      </c>
      <c r="AA82" s="26" t="s">
        <v>34</v>
      </c>
      <c r="AB82" s="33" t="s">
        <v>119</v>
      </c>
      <c r="AC82" s="33" t="s">
        <v>119</v>
      </c>
      <c r="AD82" s="33" t="s">
        <v>119</v>
      </c>
      <c r="AE82" s="33" t="s">
        <v>119</v>
      </c>
      <c r="AF82" s="33" t="s">
        <v>119</v>
      </c>
      <c r="AG82" s="33">
        <v>0.230136986301369</v>
      </c>
      <c r="AH82" s="33">
        <v>0.230136986301369</v>
      </c>
      <c r="AI82" s="26" t="s">
        <v>119</v>
      </c>
      <c r="AJ82" s="26">
        <v>0</v>
      </c>
      <c r="AK82" s="26" t="s">
        <v>34</v>
      </c>
      <c r="AL82" s="26">
        <v>0</v>
      </c>
      <c r="AM82" s="26" t="s">
        <v>37</v>
      </c>
      <c r="AN82" s="26" t="s">
        <v>119</v>
      </c>
      <c r="AO82" s="26" t="s">
        <v>119</v>
      </c>
      <c r="AP82" s="26" t="s">
        <v>38</v>
      </c>
      <c r="AQ82" s="26" t="s">
        <v>119</v>
      </c>
      <c r="AR82" s="26" t="s">
        <v>119</v>
      </c>
      <c r="AS82" s="26">
        <v>2</v>
      </c>
      <c r="AT82" s="26" t="s">
        <v>58</v>
      </c>
      <c r="AU82" s="26" t="s">
        <v>348</v>
      </c>
      <c r="AV82" s="26" t="s">
        <v>119</v>
      </c>
      <c r="AW82" s="26" t="s">
        <v>229</v>
      </c>
      <c r="AX82" s="55">
        <v>1</v>
      </c>
      <c r="AY82" s="26" t="s">
        <v>119</v>
      </c>
      <c r="AZ82" s="26" t="s">
        <v>119</v>
      </c>
      <c r="BA82" s="26" t="s">
        <v>119</v>
      </c>
      <c r="BB82" s="26" t="s">
        <v>97</v>
      </c>
      <c r="BC82" s="26" t="s">
        <v>178</v>
      </c>
      <c r="BD82" s="28" t="s">
        <v>402</v>
      </c>
      <c r="BE82" s="26" t="s">
        <v>185</v>
      </c>
      <c r="BF82" s="28" t="s">
        <v>350</v>
      </c>
      <c r="BG82" s="26" t="s">
        <v>141</v>
      </c>
      <c r="BH82" s="26">
        <v>10</v>
      </c>
      <c r="BI82" s="26">
        <v>20</v>
      </c>
      <c r="BJ82" s="54">
        <v>-10</v>
      </c>
      <c r="BK82" s="54" t="s">
        <v>262</v>
      </c>
      <c r="BL82" s="49">
        <v>3.06</v>
      </c>
      <c r="BM82" s="54">
        <f t="shared" si="12"/>
        <v>0.82024386617639511</v>
      </c>
      <c r="BN82" s="54">
        <v>8</v>
      </c>
      <c r="BO82" s="51">
        <v>0.28999999999999998</v>
      </c>
      <c r="BP82" s="49" t="s">
        <v>119</v>
      </c>
      <c r="BQ82" s="49">
        <v>3.1</v>
      </c>
      <c r="BR82" s="51">
        <f t="shared" si="13"/>
        <v>1.2162236636408619</v>
      </c>
      <c r="BS82" s="52">
        <v>8</v>
      </c>
      <c r="BT82" s="51">
        <v>0.43</v>
      </c>
      <c r="BU82" s="29" t="s">
        <v>119</v>
      </c>
      <c r="BV82" s="26">
        <v>1</v>
      </c>
      <c r="BW82" s="26" t="s">
        <v>362</v>
      </c>
      <c r="BX82" s="26" t="s">
        <v>363</v>
      </c>
      <c r="BY82" s="26" t="s">
        <v>119</v>
      </c>
      <c r="BZ82" s="25" t="s">
        <v>364</v>
      </c>
    </row>
    <row r="83" spans="2:78" s="26" customFormat="1" ht="15" customHeight="1" x14ac:dyDescent="0.35">
      <c r="B83" s="26" t="s">
        <v>327</v>
      </c>
      <c r="C83" s="26" t="s">
        <v>343</v>
      </c>
      <c r="D83" s="26">
        <v>2004</v>
      </c>
      <c r="E83" s="26" t="s">
        <v>154</v>
      </c>
      <c r="F83" s="26" t="s">
        <v>173</v>
      </c>
      <c r="G83" s="26" t="s">
        <v>344</v>
      </c>
      <c r="H83" s="26" t="s">
        <v>345</v>
      </c>
      <c r="I83" s="26" t="s">
        <v>346</v>
      </c>
      <c r="J83" s="25" t="s">
        <v>347</v>
      </c>
      <c r="K83" s="25">
        <v>4</v>
      </c>
      <c r="L83" s="25">
        <v>182.5</v>
      </c>
      <c r="M83" s="25">
        <v>365</v>
      </c>
      <c r="N83" s="25" t="s">
        <v>119</v>
      </c>
      <c r="O83" s="25" t="s">
        <v>34</v>
      </c>
      <c r="P83" s="26" t="s">
        <v>32</v>
      </c>
      <c r="Q83" s="26" t="s">
        <v>33</v>
      </c>
      <c r="R83" s="26" t="s">
        <v>119</v>
      </c>
      <c r="S83" s="26" t="s">
        <v>119</v>
      </c>
      <c r="T83" s="26" t="s">
        <v>119</v>
      </c>
      <c r="U83" s="26" t="s">
        <v>119</v>
      </c>
      <c r="V83" s="26" t="s">
        <v>119</v>
      </c>
      <c r="W83" s="26" t="s">
        <v>119</v>
      </c>
      <c r="X83" s="26">
        <v>42</v>
      </c>
      <c r="Y83" s="26" t="s">
        <v>34</v>
      </c>
      <c r="Z83" s="26">
        <v>42</v>
      </c>
      <c r="AA83" s="26" t="s">
        <v>34</v>
      </c>
      <c r="AB83" s="33" t="s">
        <v>119</v>
      </c>
      <c r="AC83" s="33" t="s">
        <v>119</v>
      </c>
      <c r="AD83" s="33" t="s">
        <v>119</v>
      </c>
      <c r="AE83" s="33" t="s">
        <v>119</v>
      </c>
      <c r="AF83" s="33" t="s">
        <v>119</v>
      </c>
      <c r="AG83" s="33">
        <v>0.230136986301369</v>
      </c>
      <c r="AH83" s="33">
        <v>0.230136986301369</v>
      </c>
      <c r="AI83" s="26" t="s">
        <v>119</v>
      </c>
      <c r="AJ83" s="26">
        <v>0</v>
      </c>
      <c r="AK83" s="26" t="s">
        <v>34</v>
      </c>
      <c r="AL83" s="26">
        <v>0</v>
      </c>
      <c r="AM83" s="26" t="s">
        <v>37</v>
      </c>
      <c r="AN83" s="26" t="s">
        <v>119</v>
      </c>
      <c r="AO83" s="26" t="s">
        <v>119</v>
      </c>
      <c r="AP83" s="26" t="s">
        <v>38</v>
      </c>
      <c r="AQ83" s="26" t="s">
        <v>119</v>
      </c>
      <c r="AR83" s="26" t="s">
        <v>119</v>
      </c>
      <c r="AS83" s="26">
        <v>2</v>
      </c>
      <c r="AT83" s="26" t="s">
        <v>58</v>
      </c>
      <c r="AU83" s="26" t="s">
        <v>348</v>
      </c>
      <c r="AV83" s="26" t="s">
        <v>119</v>
      </c>
      <c r="AW83" s="26" t="s">
        <v>229</v>
      </c>
      <c r="AX83" s="55">
        <v>1</v>
      </c>
      <c r="AY83" s="26" t="s">
        <v>119</v>
      </c>
      <c r="AZ83" s="26" t="s">
        <v>119</v>
      </c>
      <c r="BA83" s="26" t="s">
        <v>119</v>
      </c>
      <c r="BB83" s="26" t="s">
        <v>97</v>
      </c>
      <c r="BC83" s="26" t="s">
        <v>178</v>
      </c>
      <c r="BD83" s="28" t="s">
        <v>403</v>
      </c>
      <c r="BE83" s="26" t="s">
        <v>185</v>
      </c>
      <c r="BF83" s="28" t="s">
        <v>350</v>
      </c>
      <c r="BG83" s="26" t="s">
        <v>141</v>
      </c>
      <c r="BH83" s="26">
        <v>10</v>
      </c>
      <c r="BI83" s="26">
        <v>20</v>
      </c>
      <c r="BJ83" s="54">
        <v>-10</v>
      </c>
      <c r="BK83" s="54" t="s">
        <v>262</v>
      </c>
      <c r="BL83" s="49">
        <v>2.5099999999999998</v>
      </c>
      <c r="BM83" s="54">
        <f t="shared" si="12"/>
        <v>1.0182337649086284</v>
      </c>
      <c r="BN83" s="54">
        <v>8</v>
      </c>
      <c r="BO83" s="51">
        <v>0.36</v>
      </c>
      <c r="BP83" s="49" t="s">
        <v>119</v>
      </c>
      <c r="BQ83" s="49">
        <v>2.5099999999999998</v>
      </c>
      <c r="BR83" s="51">
        <f t="shared" si="13"/>
        <v>0.96166522241370478</v>
      </c>
      <c r="BS83" s="52">
        <v>8</v>
      </c>
      <c r="BT83" s="51">
        <v>0.34</v>
      </c>
      <c r="BU83" s="29" t="s">
        <v>119</v>
      </c>
      <c r="BV83" s="26">
        <v>1</v>
      </c>
      <c r="BW83" s="26" t="s">
        <v>362</v>
      </c>
      <c r="BX83" s="26" t="s">
        <v>363</v>
      </c>
      <c r="BY83" s="26" t="s">
        <v>119</v>
      </c>
      <c r="BZ83" s="25" t="s">
        <v>364</v>
      </c>
    </row>
    <row r="84" spans="2:78" s="26" customFormat="1" ht="15" customHeight="1" x14ac:dyDescent="0.35">
      <c r="B84" s="26" t="s">
        <v>327</v>
      </c>
      <c r="C84" s="26" t="s">
        <v>343</v>
      </c>
      <c r="D84" s="26">
        <v>2004</v>
      </c>
      <c r="E84" s="26" t="s">
        <v>154</v>
      </c>
      <c r="F84" s="26" t="s">
        <v>173</v>
      </c>
      <c r="G84" s="26" t="s">
        <v>344</v>
      </c>
      <c r="H84" s="26" t="s">
        <v>345</v>
      </c>
      <c r="I84" s="26" t="s">
        <v>346</v>
      </c>
      <c r="J84" s="25" t="s">
        <v>347</v>
      </c>
      <c r="K84" s="25">
        <v>4</v>
      </c>
      <c r="L84" s="25">
        <v>182.5</v>
      </c>
      <c r="M84" s="25">
        <v>365</v>
      </c>
      <c r="N84" s="25" t="s">
        <v>119</v>
      </c>
      <c r="O84" s="25" t="s">
        <v>34</v>
      </c>
      <c r="P84" s="26" t="s">
        <v>32</v>
      </c>
      <c r="Q84" s="26" t="s">
        <v>33</v>
      </c>
      <c r="R84" s="26" t="s">
        <v>119</v>
      </c>
      <c r="S84" s="26" t="s">
        <v>119</v>
      </c>
      <c r="T84" s="26" t="s">
        <v>119</v>
      </c>
      <c r="U84" s="26" t="s">
        <v>119</v>
      </c>
      <c r="V84" s="26" t="s">
        <v>119</v>
      </c>
      <c r="W84" s="26" t="s">
        <v>119</v>
      </c>
      <c r="X84" s="26">
        <v>42</v>
      </c>
      <c r="Y84" s="26" t="s">
        <v>34</v>
      </c>
      <c r="Z84" s="26">
        <v>42</v>
      </c>
      <c r="AA84" s="26" t="s">
        <v>34</v>
      </c>
      <c r="AB84" s="33" t="s">
        <v>119</v>
      </c>
      <c r="AC84" s="33" t="s">
        <v>119</v>
      </c>
      <c r="AD84" s="33" t="s">
        <v>119</v>
      </c>
      <c r="AE84" s="33" t="s">
        <v>119</v>
      </c>
      <c r="AF84" s="33" t="s">
        <v>119</v>
      </c>
      <c r="AG84" s="33">
        <v>0.230136986301369</v>
      </c>
      <c r="AH84" s="33">
        <v>0.230136986301369</v>
      </c>
      <c r="AI84" s="26" t="s">
        <v>119</v>
      </c>
      <c r="AJ84" s="26">
        <v>0</v>
      </c>
      <c r="AK84" s="26" t="s">
        <v>34</v>
      </c>
      <c r="AL84" s="26">
        <v>0</v>
      </c>
      <c r="AM84" s="26" t="s">
        <v>37</v>
      </c>
      <c r="AN84" s="26" t="s">
        <v>119</v>
      </c>
      <c r="AO84" s="26" t="s">
        <v>119</v>
      </c>
      <c r="AP84" s="26" t="s">
        <v>38</v>
      </c>
      <c r="AQ84" s="26" t="s">
        <v>119</v>
      </c>
      <c r="AR84" s="26" t="s">
        <v>119</v>
      </c>
      <c r="AS84" s="26">
        <v>2</v>
      </c>
      <c r="AT84" s="26" t="s">
        <v>58</v>
      </c>
      <c r="AU84" s="26" t="s">
        <v>348</v>
      </c>
      <c r="AV84" s="26" t="s">
        <v>119</v>
      </c>
      <c r="AW84" s="26" t="s">
        <v>229</v>
      </c>
      <c r="AX84" s="55">
        <v>1</v>
      </c>
      <c r="AY84" s="26" t="s">
        <v>119</v>
      </c>
      <c r="AZ84" s="26" t="s">
        <v>119</v>
      </c>
      <c r="BA84" s="26" t="s">
        <v>119</v>
      </c>
      <c r="BB84" s="26" t="s">
        <v>97</v>
      </c>
      <c r="BC84" s="26" t="s">
        <v>178</v>
      </c>
      <c r="BD84" s="28" t="s">
        <v>404</v>
      </c>
      <c r="BE84" s="26" t="s">
        <v>185</v>
      </c>
      <c r="BF84" s="28" t="s">
        <v>350</v>
      </c>
      <c r="BG84" s="26" t="s">
        <v>141</v>
      </c>
      <c r="BH84" s="26">
        <v>10</v>
      </c>
      <c r="BI84" s="26">
        <v>20</v>
      </c>
      <c r="BJ84" s="54">
        <v>-10</v>
      </c>
      <c r="BK84" s="54" t="s">
        <v>262</v>
      </c>
      <c r="BL84" s="49">
        <v>2.59</v>
      </c>
      <c r="BM84" s="54">
        <f t="shared" si="12"/>
        <v>1.0465180361560904</v>
      </c>
      <c r="BN84" s="54">
        <v>8</v>
      </c>
      <c r="BO84" s="51">
        <v>0.37</v>
      </c>
      <c r="BP84" s="49" t="s">
        <v>119</v>
      </c>
      <c r="BQ84" s="49">
        <v>2.91</v>
      </c>
      <c r="BR84" s="51">
        <f t="shared" si="13"/>
        <v>0.96166522241370478</v>
      </c>
      <c r="BS84" s="52">
        <v>8</v>
      </c>
      <c r="BT84" s="51">
        <v>0.34</v>
      </c>
      <c r="BU84" s="29" t="s">
        <v>119</v>
      </c>
      <c r="BV84" s="26">
        <v>1</v>
      </c>
      <c r="BW84" s="26" t="s">
        <v>362</v>
      </c>
      <c r="BX84" s="26" t="s">
        <v>363</v>
      </c>
      <c r="BY84" s="26" t="s">
        <v>119</v>
      </c>
      <c r="BZ84" s="25" t="s">
        <v>364</v>
      </c>
    </row>
    <row r="85" spans="2:78" s="26" customFormat="1" ht="15" customHeight="1" x14ac:dyDescent="0.35">
      <c r="B85" s="26" t="s">
        <v>327</v>
      </c>
      <c r="C85" s="26" t="s">
        <v>343</v>
      </c>
      <c r="D85" s="26">
        <v>2004</v>
      </c>
      <c r="E85" s="26" t="s">
        <v>154</v>
      </c>
      <c r="F85" s="26" t="s">
        <v>173</v>
      </c>
      <c r="G85" s="26" t="s">
        <v>344</v>
      </c>
      <c r="H85" s="26" t="s">
        <v>345</v>
      </c>
      <c r="I85" s="26" t="s">
        <v>346</v>
      </c>
      <c r="J85" s="25" t="s">
        <v>347</v>
      </c>
      <c r="K85" s="25">
        <v>4</v>
      </c>
      <c r="L85" s="25">
        <v>182.5</v>
      </c>
      <c r="M85" s="25">
        <v>365</v>
      </c>
      <c r="N85" s="25" t="s">
        <v>119</v>
      </c>
      <c r="O85" s="25" t="s">
        <v>34</v>
      </c>
      <c r="P85" s="26" t="s">
        <v>32</v>
      </c>
      <c r="Q85" s="26" t="s">
        <v>33</v>
      </c>
      <c r="R85" s="26" t="s">
        <v>119</v>
      </c>
      <c r="S85" s="26" t="s">
        <v>119</v>
      </c>
      <c r="T85" s="26" t="s">
        <v>119</v>
      </c>
      <c r="U85" s="26" t="s">
        <v>119</v>
      </c>
      <c r="V85" s="26" t="s">
        <v>119</v>
      </c>
      <c r="W85" s="26" t="s">
        <v>119</v>
      </c>
      <c r="X85" s="26">
        <v>42</v>
      </c>
      <c r="Y85" s="26" t="s">
        <v>34</v>
      </c>
      <c r="Z85" s="26">
        <v>42</v>
      </c>
      <c r="AA85" s="26" t="s">
        <v>34</v>
      </c>
      <c r="AB85" s="33" t="s">
        <v>119</v>
      </c>
      <c r="AC85" s="33" t="s">
        <v>119</v>
      </c>
      <c r="AD85" s="33" t="s">
        <v>119</v>
      </c>
      <c r="AE85" s="33" t="s">
        <v>119</v>
      </c>
      <c r="AF85" s="33" t="s">
        <v>119</v>
      </c>
      <c r="AG85" s="33">
        <v>0.230136986301369</v>
      </c>
      <c r="AH85" s="33">
        <v>0.230136986301369</v>
      </c>
      <c r="AI85" s="26" t="s">
        <v>119</v>
      </c>
      <c r="AJ85" s="26">
        <v>0</v>
      </c>
      <c r="AK85" s="26" t="s">
        <v>34</v>
      </c>
      <c r="AL85" s="26">
        <v>0</v>
      </c>
      <c r="AM85" s="26" t="s">
        <v>37</v>
      </c>
      <c r="AN85" s="26" t="s">
        <v>119</v>
      </c>
      <c r="AO85" s="26" t="s">
        <v>119</v>
      </c>
      <c r="AP85" s="26" t="s">
        <v>38</v>
      </c>
      <c r="AQ85" s="26" t="s">
        <v>119</v>
      </c>
      <c r="AR85" s="26" t="s">
        <v>119</v>
      </c>
      <c r="AS85" s="26">
        <v>2</v>
      </c>
      <c r="AT85" s="26" t="s">
        <v>57</v>
      </c>
      <c r="AU85" s="26" t="s">
        <v>57</v>
      </c>
      <c r="AV85" s="26" t="s">
        <v>119</v>
      </c>
      <c r="AW85" s="26" t="s">
        <v>230</v>
      </c>
      <c r="AX85" s="55">
        <v>0</v>
      </c>
      <c r="AY85" s="26" t="s">
        <v>119</v>
      </c>
      <c r="AZ85" s="26" t="s">
        <v>119</v>
      </c>
      <c r="BA85" s="26" t="s">
        <v>119</v>
      </c>
      <c r="BB85" s="26" t="s">
        <v>170</v>
      </c>
      <c r="BC85" s="26" t="s">
        <v>171</v>
      </c>
      <c r="BD85" s="28" t="s">
        <v>351</v>
      </c>
      <c r="BE85" s="26" t="s">
        <v>185</v>
      </c>
      <c r="BF85" s="28" t="s">
        <v>349</v>
      </c>
      <c r="BG85" s="26" t="s">
        <v>63</v>
      </c>
      <c r="BH85" s="26">
        <v>10</v>
      </c>
      <c r="BI85" s="26">
        <v>20</v>
      </c>
      <c r="BJ85" s="54">
        <v>-10</v>
      </c>
      <c r="BK85" s="54" t="s">
        <v>262</v>
      </c>
      <c r="BL85" s="50">
        <v>40.289909445931798</v>
      </c>
      <c r="BM85" s="54">
        <f t="shared" si="12"/>
        <v>5.898123583519026</v>
      </c>
      <c r="BN85" s="54">
        <v>8</v>
      </c>
      <c r="BO85" s="48">
        <v>2.0853015910913015</v>
      </c>
      <c r="BP85" s="49" t="s">
        <v>119</v>
      </c>
      <c r="BQ85" s="50">
        <v>9.0236873070823105</v>
      </c>
      <c r="BR85" s="51">
        <f t="shared" si="13"/>
        <v>3.7478263202437465</v>
      </c>
      <c r="BS85" s="52">
        <v>8</v>
      </c>
      <c r="BT85" s="48">
        <v>1.3250567028768891</v>
      </c>
      <c r="BU85" s="29" t="s">
        <v>119</v>
      </c>
      <c r="BV85" s="26">
        <v>1</v>
      </c>
      <c r="BW85" s="26" t="s">
        <v>362</v>
      </c>
      <c r="BX85" s="26" t="s">
        <v>363</v>
      </c>
      <c r="BY85" s="26" t="s">
        <v>119</v>
      </c>
      <c r="BZ85" s="25" t="s">
        <v>364</v>
      </c>
    </row>
    <row r="86" spans="2:78" s="26" customFormat="1" ht="15" customHeight="1" x14ac:dyDescent="0.35">
      <c r="B86" s="26" t="s">
        <v>327</v>
      </c>
      <c r="C86" s="26" t="s">
        <v>343</v>
      </c>
      <c r="D86" s="26">
        <v>2004</v>
      </c>
      <c r="E86" s="26" t="s">
        <v>154</v>
      </c>
      <c r="F86" s="26" t="s">
        <v>173</v>
      </c>
      <c r="G86" s="26" t="s">
        <v>344</v>
      </c>
      <c r="H86" s="26" t="s">
        <v>345</v>
      </c>
      <c r="I86" s="26" t="s">
        <v>346</v>
      </c>
      <c r="J86" s="25" t="s">
        <v>347</v>
      </c>
      <c r="K86" s="25">
        <v>4</v>
      </c>
      <c r="L86" s="25">
        <v>182.5</v>
      </c>
      <c r="M86" s="25">
        <v>365</v>
      </c>
      <c r="N86" s="25" t="s">
        <v>119</v>
      </c>
      <c r="O86" s="25" t="s">
        <v>34</v>
      </c>
      <c r="P86" s="26" t="s">
        <v>32</v>
      </c>
      <c r="Q86" s="26" t="s">
        <v>33</v>
      </c>
      <c r="R86" s="26" t="s">
        <v>119</v>
      </c>
      <c r="S86" s="26" t="s">
        <v>119</v>
      </c>
      <c r="T86" s="26" t="s">
        <v>119</v>
      </c>
      <c r="U86" s="26" t="s">
        <v>119</v>
      </c>
      <c r="V86" s="26" t="s">
        <v>119</v>
      </c>
      <c r="W86" s="26" t="s">
        <v>119</v>
      </c>
      <c r="X86" s="26">
        <v>42</v>
      </c>
      <c r="Y86" s="26" t="s">
        <v>34</v>
      </c>
      <c r="Z86" s="26">
        <v>42</v>
      </c>
      <c r="AA86" s="26" t="s">
        <v>34</v>
      </c>
      <c r="AB86" s="33" t="s">
        <v>119</v>
      </c>
      <c r="AC86" s="33" t="s">
        <v>119</v>
      </c>
      <c r="AD86" s="33" t="s">
        <v>119</v>
      </c>
      <c r="AE86" s="33" t="s">
        <v>119</v>
      </c>
      <c r="AF86" s="33" t="s">
        <v>119</v>
      </c>
      <c r="AG86" s="33">
        <v>0.230136986301369</v>
      </c>
      <c r="AH86" s="33">
        <v>0.230136986301369</v>
      </c>
      <c r="AI86" s="26" t="s">
        <v>119</v>
      </c>
      <c r="AJ86" s="26">
        <v>0</v>
      </c>
      <c r="AK86" s="26" t="s">
        <v>34</v>
      </c>
      <c r="AL86" s="26">
        <v>0</v>
      </c>
      <c r="AM86" s="26" t="s">
        <v>37</v>
      </c>
      <c r="AN86" s="26" t="s">
        <v>119</v>
      </c>
      <c r="AO86" s="26" t="s">
        <v>119</v>
      </c>
      <c r="AP86" s="26" t="s">
        <v>38</v>
      </c>
      <c r="AQ86" s="26" t="s">
        <v>119</v>
      </c>
      <c r="AR86" s="26" t="s">
        <v>119</v>
      </c>
      <c r="AS86" s="26">
        <v>2</v>
      </c>
      <c r="AT86" s="26" t="s">
        <v>57</v>
      </c>
      <c r="AU86" s="26" t="s">
        <v>57</v>
      </c>
      <c r="AV86" s="26" t="s">
        <v>119</v>
      </c>
      <c r="AW86" s="26" t="s">
        <v>229</v>
      </c>
      <c r="AX86" s="55">
        <v>1</v>
      </c>
      <c r="AY86" s="26" t="s">
        <v>119</v>
      </c>
      <c r="AZ86" s="26" t="s">
        <v>119</v>
      </c>
      <c r="BA86" s="26" t="s">
        <v>119</v>
      </c>
      <c r="BB86" s="26" t="s">
        <v>97</v>
      </c>
      <c r="BC86" s="26" t="s">
        <v>98</v>
      </c>
      <c r="BD86" s="28" t="s">
        <v>352</v>
      </c>
      <c r="BE86" s="26" t="s">
        <v>185</v>
      </c>
      <c r="BF86" s="28" t="s">
        <v>350</v>
      </c>
      <c r="BG86" s="26" t="s">
        <v>144</v>
      </c>
      <c r="BH86" s="26">
        <v>10</v>
      </c>
      <c r="BI86" s="26">
        <v>20</v>
      </c>
      <c r="BJ86" s="54">
        <v>-10</v>
      </c>
      <c r="BK86" s="54" t="s">
        <v>262</v>
      </c>
      <c r="BL86" s="50">
        <v>8.7558860453886993</v>
      </c>
      <c r="BM86" s="54">
        <f t="shared" si="12"/>
        <v>2.7067678836682512</v>
      </c>
      <c r="BN86" s="54">
        <v>8</v>
      </c>
      <c r="BO86" s="48">
        <v>0.95698696281989015</v>
      </c>
      <c r="BP86" s="49" t="s">
        <v>119</v>
      </c>
      <c r="BQ86" s="50">
        <v>6.6314630613230197</v>
      </c>
      <c r="BR86" s="51">
        <f t="shared" si="13"/>
        <v>1.4658108471499689</v>
      </c>
      <c r="BS86" s="52">
        <v>8</v>
      </c>
      <c r="BT86" s="48">
        <v>0.5182423949782704</v>
      </c>
      <c r="BU86" s="29" t="s">
        <v>119</v>
      </c>
      <c r="BV86" s="26">
        <v>1</v>
      </c>
      <c r="BW86" s="26" t="s">
        <v>362</v>
      </c>
      <c r="BX86" s="26" t="s">
        <v>363</v>
      </c>
      <c r="BY86" s="26" t="s">
        <v>119</v>
      </c>
      <c r="BZ86" s="25" t="s">
        <v>364</v>
      </c>
    </row>
    <row r="87" spans="2:78" ht="15" customHeight="1" x14ac:dyDescent="0.35">
      <c r="B87" s="20" t="s">
        <v>328</v>
      </c>
      <c r="C87" s="20" t="s">
        <v>329</v>
      </c>
      <c r="D87" s="20">
        <v>2005</v>
      </c>
      <c r="E87" s="20" t="s">
        <v>330</v>
      </c>
      <c r="F87" s="20" t="s">
        <v>331</v>
      </c>
      <c r="G87" s="20" t="s">
        <v>332</v>
      </c>
      <c r="H87" s="20" t="s">
        <v>333</v>
      </c>
      <c r="I87" s="20" t="s">
        <v>334</v>
      </c>
      <c r="J87" s="24" t="s">
        <v>335</v>
      </c>
      <c r="K87" s="24">
        <v>117</v>
      </c>
      <c r="L87" s="24">
        <v>821.25</v>
      </c>
      <c r="M87" s="24">
        <v>1642.5</v>
      </c>
      <c r="N87" s="24" t="s">
        <v>119</v>
      </c>
      <c r="O87" s="24" t="s">
        <v>34</v>
      </c>
      <c r="P87" s="20" t="s">
        <v>32</v>
      </c>
      <c r="Q87" s="20" t="s">
        <v>33</v>
      </c>
      <c r="R87" s="20" t="s">
        <v>119</v>
      </c>
      <c r="S87" s="20" t="s">
        <v>119</v>
      </c>
      <c r="T87" s="20" t="s">
        <v>119</v>
      </c>
      <c r="U87" s="20" t="s">
        <v>119</v>
      </c>
      <c r="V87" s="20" t="s">
        <v>119</v>
      </c>
      <c r="W87" s="20" t="s">
        <v>119</v>
      </c>
      <c r="X87" s="20">
        <v>270</v>
      </c>
      <c r="Y87" s="20" t="s">
        <v>34</v>
      </c>
      <c r="Z87" s="20">
        <v>270</v>
      </c>
      <c r="AA87" s="20" t="s">
        <v>34</v>
      </c>
      <c r="AB87" s="30" t="s">
        <v>119</v>
      </c>
      <c r="AC87" s="30" t="s">
        <v>119</v>
      </c>
      <c r="AD87" s="30" t="s">
        <v>119</v>
      </c>
      <c r="AE87" s="30" t="s">
        <v>119</v>
      </c>
      <c r="AF87" s="30" t="s">
        <v>119</v>
      </c>
      <c r="AG87" s="30">
        <v>0.32876712328767099</v>
      </c>
      <c r="AH87" s="30">
        <v>0.32876712328767099</v>
      </c>
      <c r="AI87" s="20" t="s">
        <v>119</v>
      </c>
      <c r="AJ87" s="20">
        <v>0</v>
      </c>
      <c r="AK87" s="20" t="s">
        <v>34</v>
      </c>
      <c r="AL87" s="20">
        <v>0</v>
      </c>
      <c r="AM87" s="20" t="s">
        <v>37</v>
      </c>
      <c r="AN87" s="20" t="s">
        <v>119</v>
      </c>
      <c r="AO87" s="20" t="s">
        <v>119</v>
      </c>
      <c r="AP87" s="20" t="s">
        <v>38</v>
      </c>
      <c r="AQ87" s="20">
        <v>48</v>
      </c>
      <c r="AR87" s="20" t="s">
        <v>85</v>
      </c>
      <c r="AS87" s="20">
        <v>1</v>
      </c>
      <c r="AT87" s="20" t="s">
        <v>58</v>
      </c>
      <c r="AU87" s="20" t="s">
        <v>336</v>
      </c>
      <c r="AV87" s="20" t="s">
        <v>119</v>
      </c>
      <c r="AW87" s="20" t="s">
        <v>230</v>
      </c>
      <c r="AX87" s="55">
        <v>1</v>
      </c>
      <c r="AY87" s="20" t="s">
        <v>119</v>
      </c>
      <c r="AZ87" s="20" t="s">
        <v>119</v>
      </c>
      <c r="BA87" s="20" t="s">
        <v>119</v>
      </c>
      <c r="BB87" s="20" t="s">
        <v>170</v>
      </c>
      <c r="BC87" s="20" t="s">
        <v>98</v>
      </c>
      <c r="BD87" s="19" t="s">
        <v>340</v>
      </c>
      <c r="BE87" s="20" t="s">
        <v>337</v>
      </c>
      <c r="BF87" s="19" t="s">
        <v>338</v>
      </c>
      <c r="BG87" s="20" t="s">
        <v>341</v>
      </c>
      <c r="BH87" s="20">
        <v>15</v>
      </c>
      <c r="BI87" s="20">
        <v>24.5</v>
      </c>
      <c r="BJ87" s="1">
        <f>BH87-BI87</f>
        <v>-9.5</v>
      </c>
      <c r="BK87" s="1" t="s">
        <v>262</v>
      </c>
      <c r="BL87" s="7">
        <v>1.43921171093776</v>
      </c>
      <c r="BM87" s="1">
        <f t="shared" si="12"/>
        <v>0.35595288605221975</v>
      </c>
      <c r="BN87" s="1">
        <v>5</v>
      </c>
      <c r="BO87" s="6">
        <v>0.15918697000000001</v>
      </c>
      <c r="BP87" s="5" t="s">
        <v>119</v>
      </c>
      <c r="BQ87" s="7">
        <v>1.9774234562386099</v>
      </c>
      <c r="BR87" s="6">
        <f t="shared" si="13"/>
        <v>0.35617332737708018</v>
      </c>
      <c r="BS87" s="14">
        <v>4</v>
      </c>
      <c r="BT87" s="45">
        <v>0.17808666368854009</v>
      </c>
      <c r="BU87" s="21" t="s">
        <v>119</v>
      </c>
      <c r="BV87" s="20">
        <v>1</v>
      </c>
      <c r="BW87" s="20" t="s">
        <v>365</v>
      </c>
      <c r="BX87" s="20" t="s">
        <v>363</v>
      </c>
      <c r="BY87" s="20" t="s">
        <v>119</v>
      </c>
      <c r="BZ87" s="24" t="s">
        <v>364</v>
      </c>
    </row>
    <row r="88" spans="2:78" ht="15" customHeight="1" x14ac:dyDescent="0.35">
      <c r="B88" s="20" t="s">
        <v>328</v>
      </c>
      <c r="C88" s="20" t="s">
        <v>329</v>
      </c>
      <c r="D88" s="20">
        <v>2005</v>
      </c>
      <c r="E88" s="20" t="s">
        <v>330</v>
      </c>
      <c r="F88" s="20" t="s">
        <v>331</v>
      </c>
      <c r="G88" s="20" t="s">
        <v>332</v>
      </c>
      <c r="H88" s="20" t="s">
        <v>333</v>
      </c>
      <c r="I88" s="20" t="s">
        <v>334</v>
      </c>
      <c r="J88" s="24" t="s">
        <v>335</v>
      </c>
      <c r="K88" s="24">
        <v>117</v>
      </c>
      <c r="L88" s="24">
        <v>821.25</v>
      </c>
      <c r="M88" s="24">
        <v>1642.5</v>
      </c>
      <c r="N88" s="24" t="s">
        <v>119</v>
      </c>
      <c r="O88" s="24" t="s">
        <v>34</v>
      </c>
      <c r="P88" s="20" t="s">
        <v>32</v>
      </c>
      <c r="Q88" s="20" t="s">
        <v>33</v>
      </c>
      <c r="R88" s="20" t="s">
        <v>119</v>
      </c>
      <c r="S88" s="20" t="s">
        <v>119</v>
      </c>
      <c r="T88" s="20" t="s">
        <v>119</v>
      </c>
      <c r="U88" s="20" t="s">
        <v>119</v>
      </c>
      <c r="V88" s="20" t="s">
        <v>119</v>
      </c>
      <c r="W88" s="20" t="s">
        <v>119</v>
      </c>
      <c r="X88" s="20">
        <v>270</v>
      </c>
      <c r="Y88" s="20" t="s">
        <v>34</v>
      </c>
      <c r="Z88" s="20">
        <v>270</v>
      </c>
      <c r="AA88" s="20" t="s">
        <v>34</v>
      </c>
      <c r="AB88" s="30" t="s">
        <v>119</v>
      </c>
      <c r="AC88" s="30" t="s">
        <v>119</v>
      </c>
      <c r="AD88" s="30" t="s">
        <v>119</v>
      </c>
      <c r="AE88" s="30" t="s">
        <v>119</v>
      </c>
      <c r="AF88" s="30" t="s">
        <v>119</v>
      </c>
      <c r="AG88" s="30">
        <v>0.32876712328767099</v>
      </c>
      <c r="AH88" s="30">
        <v>0.32876712328767099</v>
      </c>
      <c r="AI88" s="20" t="s">
        <v>119</v>
      </c>
      <c r="AJ88" s="20">
        <v>0</v>
      </c>
      <c r="AK88" s="20" t="s">
        <v>34</v>
      </c>
      <c r="AL88" s="20">
        <v>0</v>
      </c>
      <c r="AM88" s="20" t="s">
        <v>37</v>
      </c>
      <c r="AN88" s="20" t="s">
        <v>119</v>
      </c>
      <c r="AO88" s="20" t="s">
        <v>119</v>
      </c>
      <c r="AP88" s="20" t="s">
        <v>38</v>
      </c>
      <c r="AQ88" s="20">
        <v>48</v>
      </c>
      <c r="AR88" s="20" t="s">
        <v>85</v>
      </c>
      <c r="AS88" s="20">
        <v>1</v>
      </c>
      <c r="AT88" s="20" t="s">
        <v>58</v>
      </c>
      <c r="AU88" s="20" t="s">
        <v>336</v>
      </c>
      <c r="AV88" s="20" t="s">
        <v>119</v>
      </c>
      <c r="AW88" s="20" t="s">
        <v>229</v>
      </c>
      <c r="AX88" s="55">
        <v>1</v>
      </c>
      <c r="AY88" s="20" t="s">
        <v>119</v>
      </c>
      <c r="AZ88" s="20" t="s">
        <v>119</v>
      </c>
      <c r="BA88" s="20" t="s">
        <v>119</v>
      </c>
      <c r="BB88" s="20" t="s">
        <v>97</v>
      </c>
      <c r="BC88" s="20" t="s">
        <v>98</v>
      </c>
      <c r="BD88" s="19" t="s">
        <v>340</v>
      </c>
      <c r="BE88" s="20" t="s">
        <v>337</v>
      </c>
      <c r="BF88" s="19" t="s">
        <v>338</v>
      </c>
      <c r="BG88" s="20" t="s">
        <v>341</v>
      </c>
      <c r="BH88" s="20">
        <v>30</v>
      </c>
      <c r="BI88" s="20">
        <v>24.5</v>
      </c>
      <c r="BJ88" s="1">
        <f>BH88-BI88</f>
        <v>5.5</v>
      </c>
      <c r="BK88" s="1" t="s">
        <v>262</v>
      </c>
      <c r="BL88" s="7">
        <v>0.93330126112504597</v>
      </c>
      <c r="BM88" s="1">
        <f t="shared" si="12"/>
        <v>0.25126086087427674</v>
      </c>
      <c r="BN88" s="1">
        <v>5</v>
      </c>
      <c r="BO88" s="45">
        <v>0.112367273</v>
      </c>
      <c r="BP88" s="5" t="s">
        <v>119</v>
      </c>
      <c r="BQ88" s="7">
        <v>1.9774234562386099</v>
      </c>
      <c r="BR88" s="6">
        <f t="shared" si="13"/>
        <v>0.35617332737708018</v>
      </c>
      <c r="BS88" s="14">
        <v>4</v>
      </c>
      <c r="BT88" s="45">
        <v>0.17808666368854009</v>
      </c>
      <c r="BU88" s="21" t="s">
        <v>119</v>
      </c>
      <c r="BV88" s="20">
        <v>1</v>
      </c>
      <c r="BW88" s="20" t="s">
        <v>365</v>
      </c>
      <c r="BX88" s="20" t="s">
        <v>363</v>
      </c>
      <c r="BY88" s="20" t="s">
        <v>119</v>
      </c>
      <c r="BZ88" s="24" t="s">
        <v>364</v>
      </c>
    </row>
    <row r="89" spans="2:78" ht="15" customHeight="1" x14ac:dyDescent="0.35">
      <c r="B89" s="20" t="s">
        <v>328</v>
      </c>
      <c r="C89" s="20" t="s">
        <v>329</v>
      </c>
      <c r="D89" s="20">
        <v>2005</v>
      </c>
      <c r="E89" s="20" t="s">
        <v>330</v>
      </c>
      <c r="F89" s="20" t="s">
        <v>331</v>
      </c>
      <c r="G89" s="20" t="s">
        <v>332</v>
      </c>
      <c r="H89" s="20" t="s">
        <v>333</v>
      </c>
      <c r="I89" s="20" t="s">
        <v>334</v>
      </c>
      <c r="J89" s="24" t="s">
        <v>335</v>
      </c>
      <c r="K89" s="24">
        <v>117</v>
      </c>
      <c r="L89" s="24">
        <v>821.25</v>
      </c>
      <c r="M89" s="24">
        <v>1642.5</v>
      </c>
      <c r="N89" s="24" t="s">
        <v>119</v>
      </c>
      <c r="O89" s="24" t="s">
        <v>34</v>
      </c>
      <c r="P89" s="20" t="s">
        <v>32</v>
      </c>
      <c r="Q89" s="20" t="s">
        <v>33</v>
      </c>
      <c r="R89" s="20" t="s">
        <v>119</v>
      </c>
      <c r="S89" s="20" t="s">
        <v>119</v>
      </c>
      <c r="T89" s="20" t="s">
        <v>119</v>
      </c>
      <c r="U89" s="20" t="s">
        <v>119</v>
      </c>
      <c r="V89" s="20" t="s">
        <v>119</v>
      </c>
      <c r="W89" s="20" t="s">
        <v>119</v>
      </c>
      <c r="X89" s="20">
        <v>120</v>
      </c>
      <c r="Y89" s="20" t="s">
        <v>34</v>
      </c>
      <c r="Z89" s="20">
        <v>120</v>
      </c>
      <c r="AA89" s="20" t="s">
        <v>34</v>
      </c>
      <c r="AB89" s="30" t="s">
        <v>119</v>
      </c>
      <c r="AC89" s="30" t="s">
        <v>119</v>
      </c>
      <c r="AD89" s="30" t="s">
        <v>119</v>
      </c>
      <c r="AE89" s="30" t="s">
        <v>119</v>
      </c>
      <c r="AF89" s="30" t="s">
        <v>119</v>
      </c>
      <c r="AG89" s="30">
        <v>0.14611872146118701</v>
      </c>
      <c r="AH89" s="30">
        <v>0.14611872146118701</v>
      </c>
      <c r="AI89" s="20" t="s">
        <v>119</v>
      </c>
      <c r="AJ89" s="20">
        <v>0</v>
      </c>
      <c r="AK89" s="20" t="s">
        <v>34</v>
      </c>
      <c r="AL89" s="20">
        <v>0</v>
      </c>
      <c r="AM89" s="20" t="s">
        <v>37</v>
      </c>
      <c r="AN89" s="20" t="s">
        <v>119</v>
      </c>
      <c r="AO89" s="20" t="s">
        <v>119</v>
      </c>
      <c r="AP89" s="20" t="s">
        <v>38</v>
      </c>
      <c r="AQ89" s="20">
        <v>48</v>
      </c>
      <c r="AR89" s="20" t="s">
        <v>85</v>
      </c>
      <c r="AS89" s="20">
        <v>1</v>
      </c>
      <c r="AT89" s="20" t="s">
        <v>58</v>
      </c>
      <c r="AU89" s="20" t="s">
        <v>336</v>
      </c>
      <c r="AV89" s="20" t="s">
        <v>119</v>
      </c>
      <c r="AW89" s="20" t="s">
        <v>230</v>
      </c>
      <c r="AX89" s="55">
        <v>0</v>
      </c>
      <c r="AY89" s="20" t="s">
        <v>119</v>
      </c>
      <c r="AZ89" s="20" t="s">
        <v>119</v>
      </c>
      <c r="BA89" s="20" t="s">
        <v>119</v>
      </c>
      <c r="BB89" s="20" t="s">
        <v>170</v>
      </c>
      <c r="BC89" s="20" t="s">
        <v>171</v>
      </c>
      <c r="BD89" s="19" t="s">
        <v>342</v>
      </c>
      <c r="BE89" s="20" t="s">
        <v>337</v>
      </c>
      <c r="BF89" s="19" t="s">
        <v>338</v>
      </c>
      <c r="BG89" s="20" t="s">
        <v>339</v>
      </c>
      <c r="BH89" s="20">
        <v>15</v>
      </c>
      <c r="BI89" s="20">
        <v>24.5</v>
      </c>
      <c r="BJ89" s="1">
        <f>BH89-BI89</f>
        <v>-9.5</v>
      </c>
      <c r="BK89" s="1" t="s">
        <v>262</v>
      </c>
      <c r="BL89" s="7">
        <v>109.930607020143</v>
      </c>
      <c r="BM89" s="1">
        <f t="shared" si="12"/>
        <v>56.259488391652383</v>
      </c>
      <c r="BN89" s="1">
        <v>5</v>
      </c>
      <c r="BO89" s="45">
        <v>25.160008084619008</v>
      </c>
      <c r="BP89" s="5" t="s">
        <v>119</v>
      </c>
      <c r="BQ89" s="7">
        <v>188.24024792831599</v>
      </c>
      <c r="BR89" s="6">
        <f t="shared" si="13"/>
        <v>50.178535336522032</v>
      </c>
      <c r="BS89" s="14">
        <v>4</v>
      </c>
      <c r="BT89" s="45">
        <v>25.089267668261016</v>
      </c>
      <c r="BU89" s="21" t="s">
        <v>119</v>
      </c>
      <c r="BV89" s="20">
        <v>1</v>
      </c>
      <c r="BW89" s="20" t="s">
        <v>365</v>
      </c>
      <c r="BX89" s="20" t="s">
        <v>363</v>
      </c>
      <c r="BY89" s="20" t="s">
        <v>119</v>
      </c>
      <c r="BZ89" s="24" t="s">
        <v>364</v>
      </c>
    </row>
    <row r="90" spans="2:78" ht="15" customHeight="1" x14ac:dyDescent="0.35">
      <c r="B90" s="20" t="s">
        <v>328</v>
      </c>
      <c r="C90" s="20" t="s">
        <v>329</v>
      </c>
      <c r="D90" s="20">
        <v>2005</v>
      </c>
      <c r="E90" s="20" t="s">
        <v>330</v>
      </c>
      <c r="F90" s="20" t="s">
        <v>331</v>
      </c>
      <c r="G90" s="20" t="s">
        <v>332</v>
      </c>
      <c r="H90" s="20" t="s">
        <v>333</v>
      </c>
      <c r="I90" s="20" t="s">
        <v>334</v>
      </c>
      <c r="J90" s="24" t="s">
        <v>335</v>
      </c>
      <c r="K90" s="24">
        <v>117</v>
      </c>
      <c r="L90" s="24">
        <v>821.25</v>
      </c>
      <c r="M90" s="24">
        <v>1642.5</v>
      </c>
      <c r="N90" s="24" t="s">
        <v>119</v>
      </c>
      <c r="O90" s="24" t="s">
        <v>34</v>
      </c>
      <c r="P90" s="20" t="s">
        <v>32</v>
      </c>
      <c r="Q90" s="20" t="s">
        <v>33</v>
      </c>
      <c r="R90" s="20" t="s">
        <v>119</v>
      </c>
      <c r="S90" s="20" t="s">
        <v>119</v>
      </c>
      <c r="T90" s="20" t="s">
        <v>119</v>
      </c>
      <c r="U90" s="20" t="s">
        <v>119</v>
      </c>
      <c r="V90" s="20" t="s">
        <v>119</v>
      </c>
      <c r="W90" s="20" t="s">
        <v>119</v>
      </c>
      <c r="X90" s="20">
        <v>120</v>
      </c>
      <c r="Y90" s="20" t="s">
        <v>34</v>
      </c>
      <c r="Z90" s="20">
        <v>120</v>
      </c>
      <c r="AA90" s="20" t="s">
        <v>34</v>
      </c>
      <c r="AB90" s="30" t="s">
        <v>119</v>
      </c>
      <c r="AC90" s="30" t="s">
        <v>119</v>
      </c>
      <c r="AD90" s="30" t="s">
        <v>119</v>
      </c>
      <c r="AE90" s="30" t="s">
        <v>119</v>
      </c>
      <c r="AF90" s="30" t="s">
        <v>119</v>
      </c>
      <c r="AG90" s="30">
        <v>0.14611872146118701</v>
      </c>
      <c r="AH90" s="30">
        <v>0.14611872146118701</v>
      </c>
      <c r="AI90" s="20" t="s">
        <v>119</v>
      </c>
      <c r="AJ90" s="20">
        <v>0</v>
      </c>
      <c r="AK90" s="20" t="s">
        <v>34</v>
      </c>
      <c r="AL90" s="20">
        <v>0</v>
      </c>
      <c r="AM90" s="20" t="s">
        <v>37</v>
      </c>
      <c r="AN90" s="20" t="s">
        <v>119</v>
      </c>
      <c r="AO90" s="20" t="s">
        <v>119</v>
      </c>
      <c r="AP90" s="20" t="s">
        <v>38</v>
      </c>
      <c r="AQ90" s="20">
        <v>48</v>
      </c>
      <c r="AR90" s="20" t="s">
        <v>85</v>
      </c>
      <c r="AS90" s="20">
        <v>1</v>
      </c>
      <c r="AT90" s="20" t="s">
        <v>58</v>
      </c>
      <c r="AU90" s="20" t="s">
        <v>336</v>
      </c>
      <c r="AV90" s="20" t="s">
        <v>119</v>
      </c>
      <c r="AW90" s="20" t="s">
        <v>229</v>
      </c>
      <c r="AX90" s="55">
        <v>0</v>
      </c>
      <c r="AY90" s="20" t="s">
        <v>119</v>
      </c>
      <c r="AZ90" s="20" t="s">
        <v>119</v>
      </c>
      <c r="BA90" s="20" t="s">
        <v>119</v>
      </c>
      <c r="BB90" s="20" t="s">
        <v>97</v>
      </c>
      <c r="BC90" s="20" t="s">
        <v>171</v>
      </c>
      <c r="BD90" s="19" t="s">
        <v>342</v>
      </c>
      <c r="BE90" s="20" t="s">
        <v>337</v>
      </c>
      <c r="BF90" s="19" t="s">
        <v>338</v>
      </c>
      <c r="BG90" s="20" t="s">
        <v>339</v>
      </c>
      <c r="BH90" s="20">
        <v>30</v>
      </c>
      <c r="BI90" s="20">
        <v>24.5</v>
      </c>
      <c r="BJ90" s="1">
        <f>BH90-BI90</f>
        <v>5.5</v>
      </c>
      <c r="BK90" s="1" t="s">
        <v>262</v>
      </c>
      <c r="BL90" s="7">
        <v>253.34501111635001</v>
      </c>
      <c r="BM90" s="1">
        <f t="shared" si="12"/>
        <v>41.258715713654425</v>
      </c>
      <c r="BN90" s="1">
        <v>5</v>
      </c>
      <c r="BO90" s="45">
        <v>18.451458600014007</v>
      </c>
      <c r="BP90" s="5" t="s">
        <v>119</v>
      </c>
      <c r="BQ90" s="7">
        <v>188.24024792831599</v>
      </c>
      <c r="BR90" s="6">
        <f t="shared" si="13"/>
        <v>50.178535336522032</v>
      </c>
      <c r="BS90" s="14">
        <v>4</v>
      </c>
      <c r="BT90" s="45">
        <v>25.089267668261016</v>
      </c>
      <c r="BU90" s="21" t="s">
        <v>119</v>
      </c>
      <c r="BV90" s="20">
        <v>1</v>
      </c>
      <c r="BW90" s="20" t="s">
        <v>365</v>
      </c>
      <c r="BX90" s="20" t="s">
        <v>363</v>
      </c>
      <c r="BY90" s="20" t="s">
        <v>119</v>
      </c>
      <c r="BZ90" s="24" t="s">
        <v>364</v>
      </c>
    </row>
    <row r="91" spans="2:78" s="26" customFormat="1" ht="15" customHeight="1" x14ac:dyDescent="0.35">
      <c r="B91" s="26" t="s">
        <v>366</v>
      </c>
      <c r="C91" s="26" t="s">
        <v>355</v>
      </c>
      <c r="D91" s="26">
        <v>2004</v>
      </c>
      <c r="E91" s="26" t="s">
        <v>91</v>
      </c>
      <c r="F91" s="26" t="s">
        <v>176</v>
      </c>
      <c r="G91" s="26" t="s">
        <v>177</v>
      </c>
      <c r="H91" s="26" t="s">
        <v>179</v>
      </c>
      <c r="I91" s="26" t="s">
        <v>180</v>
      </c>
      <c r="J91" s="25" t="s">
        <v>181</v>
      </c>
      <c r="K91" s="25">
        <v>14</v>
      </c>
      <c r="L91" s="25">
        <v>547.5</v>
      </c>
      <c r="M91" s="25">
        <v>1095</v>
      </c>
      <c r="N91" s="25" t="s">
        <v>119</v>
      </c>
      <c r="O91" s="25" t="s">
        <v>34</v>
      </c>
      <c r="P91" s="26" t="s">
        <v>32</v>
      </c>
      <c r="Q91" s="26" t="s">
        <v>33</v>
      </c>
      <c r="R91" s="26" t="s">
        <v>119</v>
      </c>
      <c r="S91" s="26" t="s">
        <v>119</v>
      </c>
      <c r="T91" s="26" t="s">
        <v>119</v>
      </c>
      <c r="U91" s="26" t="s">
        <v>119</v>
      </c>
      <c r="V91" s="26">
        <v>365</v>
      </c>
      <c r="W91" s="26">
        <v>773</v>
      </c>
      <c r="X91" s="26">
        <v>408</v>
      </c>
      <c r="Y91" s="26" t="s">
        <v>34</v>
      </c>
      <c r="Z91" s="26">
        <v>408</v>
      </c>
      <c r="AA91" s="26" t="s">
        <v>34</v>
      </c>
      <c r="AB91" s="33" t="s">
        <v>119</v>
      </c>
      <c r="AC91" s="33" t="s">
        <v>119</v>
      </c>
      <c r="AD91" s="33" t="s">
        <v>119</v>
      </c>
      <c r="AE91" s="33">
        <v>0.66666666666666596</v>
      </c>
      <c r="AF91" s="33">
        <v>1.41187214611872</v>
      </c>
      <c r="AG91" s="33">
        <v>0.74520547945205395</v>
      </c>
      <c r="AH91" s="33">
        <v>0.74520547945205395</v>
      </c>
      <c r="AI91" s="26" t="s">
        <v>119</v>
      </c>
      <c r="AJ91" s="26">
        <v>0</v>
      </c>
      <c r="AK91" s="26" t="s">
        <v>34</v>
      </c>
      <c r="AL91" s="26">
        <v>0</v>
      </c>
      <c r="AM91" s="26" t="s">
        <v>37</v>
      </c>
      <c r="AN91" s="26" t="s">
        <v>119</v>
      </c>
      <c r="AO91" s="26" t="s">
        <v>119</v>
      </c>
      <c r="AP91" s="26" t="s">
        <v>38</v>
      </c>
      <c r="AQ91" s="26" t="s">
        <v>119</v>
      </c>
      <c r="AR91" s="26" t="s">
        <v>119</v>
      </c>
      <c r="AS91" s="26">
        <v>2</v>
      </c>
      <c r="AT91" s="26" t="s">
        <v>58</v>
      </c>
      <c r="AU91" s="26" t="s">
        <v>57</v>
      </c>
      <c r="AV91" s="26" t="s">
        <v>158</v>
      </c>
      <c r="AW91" s="26" t="s">
        <v>230</v>
      </c>
      <c r="AX91" s="55">
        <v>0</v>
      </c>
      <c r="AY91" s="26" t="s">
        <v>119</v>
      </c>
      <c r="AZ91" s="26" t="s">
        <v>119</v>
      </c>
      <c r="BA91" s="26" t="s">
        <v>119</v>
      </c>
      <c r="BB91" s="26" t="s">
        <v>170</v>
      </c>
      <c r="BC91" s="26" t="s">
        <v>171</v>
      </c>
      <c r="BD91" s="28" t="s">
        <v>405</v>
      </c>
      <c r="BE91" s="26" t="s">
        <v>184</v>
      </c>
      <c r="BF91" s="28" t="s">
        <v>368</v>
      </c>
      <c r="BG91" s="26" t="s">
        <v>142</v>
      </c>
      <c r="BH91" s="26">
        <v>4</v>
      </c>
      <c r="BI91" s="26">
        <v>12</v>
      </c>
      <c r="BJ91" s="54">
        <v>-8</v>
      </c>
      <c r="BK91" s="54" t="s">
        <v>262</v>
      </c>
      <c r="BL91" s="50">
        <v>4.1601766825526303</v>
      </c>
      <c r="BM91" s="54">
        <f t="shared" si="12"/>
        <v>4.8739471822441125</v>
      </c>
      <c r="BN91" s="54">
        <v>21</v>
      </c>
      <c r="BO91" s="48">
        <v>1.0635824712309701</v>
      </c>
      <c r="BP91" s="49" t="s">
        <v>119</v>
      </c>
      <c r="BQ91" s="50">
        <v>6.2733930024410398</v>
      </c>
      <c r="BR91" s="51">
        <f t="shared" si="13"/>
        <v>3.3494125416462932</v>
      </c>
      <c r="BS91" s="52">
        <v>15</v>
      </c>
      <c r="BT91" s="48">
        <v>0.86481459955828999</v>
      </c>
      <c r="BU91" s="29" t="s">
        <v>119</v>
      </c>
      <c r="BV91" s="26">
        <v>1</v>
      </c>
      <c r="BW91" s="26" t="s">
        <v>362</v>
      </c>
      <c r="BX91" s="26" t="s">
        <v>363</v>
      </c>
      <c r="BY91" s="26" t="s">
        <v>119</v>
      </c>
      <c r="BZ91" s="25" t="s">
        <v>364</v>
      </c>
    </row>
    <row r="92" spans="2:78" s="26" customFormat="1" ht="15" customHeight="1" x14ac:dyDescent="0.35">
      <c r="B92" s="26" t="s">
        <v>366</v>
      </c>
      <c r="C92" s="26" t="s">
        <v>355</v>
      </c>
      <c r="D92" s="26">
        <v>2004</v>
      </c>
      <c r="E92" s="26" t="s">
        <v>91</v>
      </c>
      <c r="F92" s="26" t="s">
        <v>176</v>
      </c>
      <c r="G92" s="26" t="s">
        <v>177</v>
      </c>
      <c r="H92" s="26" t="s">
        <v>179</v>
      </c>
      <c r="I92" s="26" t="s">
        <v>180</v>
      </c>
      <c r="J92" s="25" t="s">
        <v>181</v>
      </c>
      <c r="K92" s="25">
        <v>14</v>
      </c>
      <c r="L92" s="25">
        <v>547.5</v>
      </c>
      <c r="M92" s="25">
        <v>1095</v>
      </c>
      <c r="N92" s="25" t="s">
        <v>119</v>
      </c>
      <c r="O92" s="25" t="s">
        <v>34</v>
      </c>
      <c r="P92" s="26" t="s">
        <v>32</v>
      </c>
      <c r="Q92" s="26" t="s">
        <v>33</v>
      </c>
      <c r="R92" s="26" t="s">
        <v>119</v>
      </c>
      <c r="S92" s="26" t="s">
        <v>119</v>
      </c>
      <c r="T92" s="26" t="s">
        <v>119</v>
      </c>
      <c r="U92" s="26" t="s">
        <v>119</v>
      </c>
      <c r="V92" s="26">
        <v>365</v>
      </c>
      <c r="W92" s="26">
        <v>773</v>
      </c>
      <c r="X92" s="26">
        <v>408</v>
      </c>
      <c r="Y92" s="26" t="s">
        <v>34</v>
      </c>
      <c r="Z92" s="26">
        <v>408</v>
      </c>
      <c r="AA92" s="26" t="s">
        <v>34</v>
      </c>
      <c r="AB92" s="33" t="s">
        <v>119</v>
      </c>
      <c r="AC92" s="33" t="s">
        <v>119</v>
      </c>
      <c r="AD92" s="33" t="s">
        <v>119</v>
      </c>
      <c r="AE92" s="33">
        <v>0.66666666666666596</v>
      </c>
      <c r="AF92" s="33">
        <v>1.41187214611872</v>
      </c>
      <c r="AG92" s="33">
        <v>0.74520547945205395</v>
      </c>
      <c r="AH92" s="33">
        <v>0.74520547945205395</v>
      </c>
      <c r="AI92" s="26" t="s">
        <v>119</v>
      </c>
      <c r="AJ92" s="26">
        <v>0</v>
      </c>
      <c r="AK92" s="26" t="s">
        <v>34</v>
      </c>
      <c r="AL92" s="26">
        <v>0</v>
      </c>
      <c r="AM92" s="26" t="s">
        <v>37</v>
      </c>
      <c r="AN92" s="26" t="s">
        <v>119</v>
      </c>
      <c r="AO92" s="26" t="s">
        <v>119</v>
      </c>
      <c r="AP92" s="26" t="s">
        <v>38</v>
      </c>
      <c r="AQ92" s="26" t="s">
        <v>119</v>
      </c>
      <c r="AR92" s="26" t="s">
        <v>119</v>
      </c>
      <c r="AS92" s="26">
        <v>2</v>
      </c>
      <c r="AT92" s="26" t="s">
        <v>57</v>
      </c>
      <c r="AU92" s="26" t="s">
        <v>367</v>
      </c>
      <c r="AV92" s="26" t="s">
        <v>158</v>
      </c>
      <c r="AW92" s="26" t="s">
        <v>230</v>
      </c>
      <c r="AX92" s="55">
        <v>0</v>
      </c>
      <c r="AY92" s="26" t="s">
        <v>119</v>
      </c>
      <c r="AZ92" s="26" t="s">
        <v>119</v>
      </c>
      <c r="BA92" s="26" t="s">
        <v>119</v>
      </c>
      <c r="BB92" s="26" t="s">
        <v>170</v>
      </c>
      <c r="BC92" s="26" t="s">
        <v>171</v>
      </c>
      <c r="BD92" s="28" t="s">
        <v>405</v>
      </c>
      <c r="BE92" s="26" t="s">
        <v>184</v>
      </c>
      <c r="BF92" s="28" t="s">
        <v>368</v>
      </c>
      <c r="BG92" s="26" t="s">
        <v>142</v>
      </c>
      <c r="BH92" s="26">
        <v>4</v>
      </c>
      <c r="BI92" s="26">
        <v>12</v>
      </c>
      <c r="BJ92" s="54">
        <v>-8</v>
      </c>
      <c r="BK92" s="54" t="s">
        <v>262</v>
      </c>
      <c r="BL92" s="50">
        <v>8.4145065674764794</v>
      </c>
      <c r="BM92" s="54">
        <f t="shared" si="12"/>
        <v>2.8604476905629781</v>
      </c>
      <c r="BN92" s="54">
        <v>21</v>
      </c>
      <c r="BO92" s="48">
        <v>0.62420086016506993</v>
      </c>
      <c r="BP92" s="49" t="s">
        <v>119</v>
      </c>
      <c r="BQ92" s="50">
        <v>13.9451354178775</v>
      </c>
      <c r="BR92" s="51">
        <f t="shared" si="13"/>
        <v>6.5367567345031823</v>
      </c>
      <c r="BS92" s="52">
        <v>15</v>
      </c>
      <c r="BT92" s="48">
        <v>1.687783331396</v>
      </c>
      <c r="BU92" s="29" t="s">
        <v>119</v>
      </c>
      <c r="BV92" s="26">
        <v>1</v>
      </c>
      <c r="BW92" s="26" t="s">
        <v>362</v>
      </c>
      <c r="BX92" s="26" t="s">
        <v>363</v>
      </c>
      <c r="BY92" s="26" t="s">
        <v>119</v>
      </c>
      <c r="BZ92" s="25" t="s">
        <v>364</v>
      </c>
    </row>
    <row r="135" spans="70:72" ht="15" customHeight="1" x14ac:dyDescent="0.35"/>
    <row r="511" spans="62:62" ht="15" customHeight="1" x14ac:dyDescent="0.35"/>
    <row r="1002" spans="48:48" ht="15" customHeight="1" x14ac:dyDescent="0.35"/>
  </sheetData>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3B4D3-6DD1-FE46-964D-7617C44391FD}">
  <dimension ref="A1:D14"/>
  <sheetViews>
    <sheetView workbookViewId="0">
      <selection activeCell="D6" sqref="D6"/>
    </sheetView>
  </sheetViews>
  <sheetFormatPr defaultColWidth="10.83203125" defaultRowHeight="15.5" x14ac:dyDescent="0.35"/>
  <cols>
    <col min="1" max="1" width="10.83203125" style="7"/>
    <col min="2" max="2" width="22" style="7" customWidth="1"/>
    <col min="3" max="3" width="9.33203125" style="7" customWidth="1"/>
    <col min="4" max="4" width="35" style="7" customWidth="1"/>
    <col min="5" max="16384" width="10.83203125" style="7"/>
  </cols>
  <sheetData>
    <row r="1" spans="1:4" ht="29.15" customHeight="1" x14ac:dyDescent="0.35">
      <c r="A1" s="34" t="s">
        <v>268</v>
      </c>
      <c r="B1" s="34" t="s">
        <v>374</v>
      </c>
      <c r="C1" s="35" t="s">
        <v>273</v>
      </c>
      <c r="D1" s="34" t="s">
        <v>269</v>
      </c>
    </row>
    <row r="2" spans="1:4" x14ac:dyDescent="0.35">
      <c r="A2" s="40" t="s">
        <v>406</v>
      </c>
      <c r="B2" s="37" t="s">
        <v>271</v>
      </c>
      <c r="C2" s="38" t="s">
        <v>275</v>
      </c>
      <c r="D2" s="34" t="s">
        <v>272</v>
      </c>
    </row>
    <row r="3" spans="1:4" x14ac:dyDescent="0.35">
      <c r="A3" s="40" t="s">
        <v>408</v>
      </c>
      <c r="B3" s="34" t="s">
        <v>292</v>
      </c>
      <c r="C3" s="35" t="s">
        <v>293</v>
      </c>
      <c r="D3" s="34" t="s">
        <v>417</v>
      </c>
    </row>
    <row r="4" spans="1:4" x14ac:dyDescent="0.35">
      <c r="A4" s="40" t="s">
        <v>414</v>
      </c>
      <c r="B4" s="37" t="s">
        <v>358</v>
      </c>
      <c r="C4" s="35" t="s">
        <v>293</v>
      </c>
      <c r="D4" s="37" t="s">
        <v>418</v>
      </c>
    </row>
    <row r="5" spans="1:4" x14ac:dyDescent="0.35">
      <c r="A5" s="40" t="s">
        <v>415</v>
      </c>
      <c r="B5" s="37" t="s">
        <v>359</v>
      </c>
      <c r="C5" s="35" t="s">
        <v>275</v>
      </c>
      <c r="D5" s="37" t="s">
        <v>361</v>
      </c>
    </row>
    <row r="6" spans="1:4" x14ac:dyDescent="0.35">
      <c r="A6" s="40" t="s">
        <v>416</v>
      </c>
      <c r="B6" s="37" t="s">
        <v>357</v>
      </c>
      <c r="C6" s="35" t="s">
        <v>275</v>
      </c>
      <c r="D6" s="37" t="s">
        <v>360</v>
      </c>
    </row>
    <row r="7" spans="1:4" x14ac:dyDescent="0.35">
      <c r="A7" s="39" t="s">
        <v>237</v>
      </c>
      <c r="B7" s="34" t="s">
        <v>294</v>
      </c>
      <c r="C7" s="35" t="s">
        <v>274</v>
      </c>
      <c r="D7" s="7" t="s">
        <v>373</v>
      </c>
    </row>
    <row r="8" spans="1:4" x14ac:dyDescent="0.35">
      <c r="A8" s="39" t="s">
        <v>266</v>
      </c>
      <c r="B8" s="34" t="s">
        <v>270</v>
      </c>
      <c r="C8" s="35" t="s">
        <v>274</v>
      </c>
      <c r="D8" s="37" t="s">
        <v>369</v>
      </c>
    </row>
    <row r="9" spans="1:4" x14ac:dyDescent="0.35">
      <c r="A9" s="39" t="s">
        <v>267</v>
      </c>
      <c r="B9" s="34" t="s">
        <v>276</v>
      </c>
      <c r="C9" s="35" t="s">
        <v>274</v>
      </c>
      <c r="D9" s="37" t="s">
        <v>407</v>
      </c>
    </row>
    <row r="10" spans="1:4" x14ac:dyDescent="0.35">
      <c r="A10" s="39" t="s">
        <v>297</v>
      </c>
      <c r="B10" s="34" t="s">
        <v>326</v>
      </c>
      <c r="C10" s="35" t="s">
        <v>274</v>
      </c>
      <c r="D10" s="37" t="s">
        <v>409</v>
      </c>
    </row>
    <row r="11" spans="1:4" x14ac:dyDescent="0.35">
      <c r="A11" s="39" t="s">
        <v>324</v>
      </c>
      <c r="B11" s="34" t="s">
        <v>325</v>
      </c>
      <c r="C11" s="35" t="s">
        <v>274</v>
      </c>
      <c r="D11" s="37" t="s">
        <v>410</v>
      </c>
    </row>
    <row r="12" spans="1:4" x14ac:dyDescent="0.35">
      <c r="A12" s="39" t="s">
        <v>327</v>
      </c>
      <c r="B12" s="34" t="s">
        <v>353</v>
      </c>
      <c r="C12" s="35" t="s">
        <v>274</v>
      </c>
      <c r="D12" s="37" t="s">
        <v>411</v>
      </c>
    </row>
    <row r="13" spans="1:4" x14ac:dyDescent="0.35">
      <c r="A13" s="39" t="s">
        <v>328</v>
      </c>
      <c r="B13" s="37" t="s">
        <v>354</v>
      </c>
      <c r="C13" s="35" t="s">
        <v>274</v>
      </c>
      <c r="D13" s="37" t="s">
        <v>412</v>
      </c>
    </row>
    <row r="14" spans="1:4" x14ac:dyDescent="0.35">
      <c r="A14" s="39" t="s">
        <v>366</v>
      </c>
      <c r="B14" s="34" t="s">
        <v>356</v>
      </c>
      <c r="C14" s="35" t="s">
        <v>274</v>
      </c>
      <c r="D14" s="37" t="s">
        <v>413</v>
      </c>
    </row>
  </sheetData>
  <sortState xmlns:xlrd2="http://schemas.microsoft.com/office/spreadsheetml/2017/richdata2" ref="A2:D14">
    <sortCondition ref="A2:A1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24"/>
  <sheetViews>
    <sheetView topLeftCell="A51" zoomScale="210" workbookViewId="0">
      <selection activeCell="A57" sqref="A57:XFD67"/>
    </sheetView>
  </sheetViews>
  <sheetFormatPr defaultColWidth="11.08203125" defaultRowHeight="15" customHeight="1" x14ac:dyDescent="0.35"/>
  <cols>
    <col min="1" max="1" width="22.33203125" style="2" bestFit="1" customWidth="1"/>
    <col min="2" max="2" width="255.83203125" style="2" bestFit="1" customWidth="1"/>
    <col min="3" max="26" width="10.5" customWidth="1"/>
  </cols>
  <sheetData>
    <row r="1" spans="1:2" ht="15.75" customHeight="1" x14ac:dyDescent="0.35">
      <c r="A1" s="4" t="s">
        <v>39</v>
      </c>
      <c r="B1" s="4" t="s">
        <v>40</v>
      </c>
    </row>
    <row r="2" spans="1:2" ht="15.75" customHeight="1" x14ac:dyDescent="0.35">
      <c r="A2" s="2" t="s">
        <v>0</v>
      </c>
      <c r="B2" s="2" t="s">
        <v>41</v>
      </c>
    </row>
    <row r="3" spans="1:2" ht="15.75" customHeight="1" x14ac:dyDescent="0.35">
      <c r="A3" s="2" t="s">
        <v>1</v>
      </c>
      <c r="B3" s="2" t="s">
        <v>42</v>
      </c>
    </row>
    <row r="4" spans="1:2" ht="15.75" customHeight="1" x14ac:dyDescent="0.35">
      <c r="A4" s="2" t="s">
        <v>2</v>
      </c>
      <c r="B4" s="2" t="s">
        <v>43</v>
      </c>
    </row>
    <row r="5" spans="1:2" ht="15.75" customHeight="1" x14ac:dyDescent="0.35">
      <c r="A5" s="2" t="s">
        <v>3</v>
      </c>
      <c r="B5" s="2" t="s">
        <v>44</v>
      </c>
    </row>
    <row r="6" spans="1:2" ht="15.75" customHeight="1" x14ac:dyDescent="0.35">
      <c r="A6" s="2" t="s">
        <v>5</v>
      </c>
      <c r="B6" s="2" t="s">
        <v>45</v>
      </c>
    </row>
    <row r="7" spans="1:2" ht="15.75" customHeight="1" x14ac:dyDescent="0.35">
      <c r="A7" s="2" t="s">
        <v>6</v>
      </c>
      <c r="B7" s="2" t="s">
        <v>46</v>
      </c>
    </row>
    <row r="8" spans="1:2" ht="15.65" customHeight="1" x14ac:dyDescent="0.35">
      <c r="A8" s="2" t="s">
        <v>7</v>
      </c>
      <c r="B8" s="2" t="s">
        <v>47</v>
      </c>
    </row>
    <row r="9" spans="1:2" ht="15.65" customHeight="1" x14ac:dyDescent="0.35">
      <c r="A9" s="2" t="s">
        <v>8</v>
      </c>
      <c r="B9" s="2" t="s">
        <v>99</v>
      </c>
    </row>
    <row r="10" spans="1:2" ht="15.65" customHeight="1" x14ac:dyDescent="0.35">
      <c r="A10" s="2" t="s">
        <v>187</v>
      </c>
      <c r="B10" s="2" t="s">
        <v>199</v>
      </c>
    </row>
    <row r="11" spans="1:2" ht="15.65" customHeight="1" x14ac:dyDescent="0.35">
      <c r="A11" s="2" t="s">
        <v>188</v>
      </c>
      <c r="B11" s="2" t="s">
        <v>200</v>
      </c>
    </row>
    <row r="12" spans="1:2" ht="15.65" customHeight="1" x14ac:dyDescent="0.35">
      <c r="A12" s="2" t="s">
        <v>186</v>
      </c>
      <c r="B12" s="2" t="s">
        <v>201</v>
      </c>
    </row>
    <row r="13" spans="1:2" ht="15.65" customHeight="1" x14ac:dyDescent="0.35">
      <c r="A13" s="2" t="s">
        <v>197</v>
      </c>
      <c r="B13" s="2" t="s">
        <v>202</v>
      </c>
    </row>
    <row r="14" spans="1:2" ht="15.65" customHeight="1" x14ac:dyDescent="0.35">
      <c r="A14" s="2" t="s">
        <v>9</v>
      </c>
      <c r="B14" s="2" t="s">
        <v>100</v>
      </c>
    </row>
    <row r="15" spans="1:2" ht="15.65" customHeight="1" x14ac:dyDescent="0.35">
      <c r="A15" s="2" t="s">
        <v>10</v>
      </c>
      <c r="B15" s="15" t="s">
        <v>101</v>
      </c>
    </row>
    <row r="16" spans="1:2" ht="15.65" customHeight="1" x14ac:dyDescent="0.35">
      <c r="A16" s="7" t="s">
        <v>70</v>
      </c>
      <c r="B16" s="2" t="s">
        <v>102</v>
      </c>
    </row>
    <row r="17" spans="1:2" ht="15.65" customHeight="1" x14ac:dyDescent="0.35">
      <c r="A17" s="7" t="s">
        <v>71</v>
      </c>
      <c r="B17" s="2" t="s">
        <v>103</v>
      </c>
    </row>
    <row r="18" spans="1:2" ht="15.65" customHeight="1" x14ac:dyDescent="0.35">
      <c r="A18" s="7" t="s">
        <v>78</v>
      </c>
      <c r="B18" s="2" t="s">
        <v>203</v>
      </c>
    </row>
    <row r="19" spans="1:2" ht="15.65" customHeight="1" x14ac:dyDescent="0.35">
      <c r="A19" s="7" t="s">
        <v>76</v>
      </c>
      <c r="B19" s="2" t="s">
        <v>104</v>
      </c>
    </row>
    <row r="20" spans="1:2" ht="15.65" customHeight="1" x14ac:dyDescent="0.35">
      <c r="A20" s="7" t="s">
        <v>72</v>
      </c>
      <c r="B20" s="2" t="s">
        <v>105</v>
      </c>
    </row>
    <row r="21" spans="1:2" ht="15.65" customHeight="1" x14ac:dyDescent="0.35">
      <c r="A21" s="7" t="s">
        <v>73</v>
      </c>
      <c r="B21" s="2" t="s">
        <v>103</v>
      </c>
    </row>
    <row r="22" spans="1:2" ht="15.65" customHeight="1" x14ac:dyDescent="0.35">
      <c r="A22" s="7" t="s">
        <v>69</v>
      </c>
      <c r="B22" s="2" t="s">
        <v>106</v>
      </c>
    </row>
    <row r="23" spans="1:2" ht="15.65" customHeight="1" x14ac:dyDescent="0.35">
      <c r="A23" s="7" t="s">
        <v>75</v>
      </c>
      <c r="B23" s="2" t="s">
        <v>107</v>
      </c>
    </row>
    <row r="24" spans="1:2" ht="15.65" customHeight="1" x14ac:dyDescent="0.35">
      <c r="A24" s="7" t="s">
        <v>74</v>
      </c>
      <c r="B24" s="2" t="s">
        <v>109</v>
      </c>
    </row>
    <row r="25" spans="1:2" ht="15.75" customHeight="1" x14ac:dyDescent="0.35">
      <c r="A25" s="7" t="s">
        <v>77</v>
      </c>
      <c r="B25" s="2" t="s">
        <v>108</v>
      </c>
    </row>
    <row r="26" spans="1:2" ht="15.75" customHeight="1" x14ac:dyDescent="0.35">
      <c r="A26" s="7" t="s">
        <v>191</v>
      </c>
      <c r="B26" s="2" t="s">
        <v>204</v>
      </c>
    </row>
    <row r="27" spans="1:2" ht="15.75" customHeight="1" x14ac:dyDescent="0.35">
      <c r="A27" s="7" t="s">
        <v>190</v>
      </c>
      <c r="B27" s="2" t="s">
        <v>205</v>
      </c>
    </row>
    <row r="28" spans="1:2" ht="15.75" customHeight="1" x14ac:dyDescent="0.35">
      <c r="A28" s="7" t="s">
        <v>196</v>
      </c>
      <c r="B28" s="2" t="s">
        <v>206</v>
      </c>
    </row>
    <row r="29" spans="1:2" ht="15.75" customHeight="1" x14ac:dyDescent="0.35">
      <c r="A29" s="7" t="s">
        <v>193</v>
      </c>
      <c r="B29" s="2" t="s">
        <v>207</v>
      </c>
    </row>
    <row r="30" spans="1:2" ht="15.75" customHeight="1" x14ac:dyDescent="0.35">
      <c r="A30" s="7" t="s">
        <v>194</v>
      </c>
      <c r="B30" s="2" t="s">
        <v>208</v>
      </c>
    </row>
    <row r="31" spans="1:2" ht="15.75" customHeight="1" x14ac:dyDescent="0.35">
      <c r="A31" s="7" t="s">
        <v>192</v>
      </c>
      <c r="B31" s="2" t="s">
        <v>209</v>
      </c>
    </row>
    <row r="32" spans="1:2" ht="15.65" customHeight="1" x14ac:dyDescent="0.35">
      <c r="A32" s="7" t="s">
        <v>195</v>
      </c>
      <c r="B32" s="2" t="s">
        <v>210</v>
      </c>
    </row>
    <row r="33" spans="1:2" ht="15.75" customHeight="1" x14ac:dyDescent="0.35">
      <c r="A33" s="7" t="s">
        <v>81</v>
      </c>
      <c r="B33" s="2" t="s">
        <v>110</v>
      </c>
    </row>
    <row r="34" spans="1:2" ht="15.75" customHeight="1" x14ac:dyDescent="0.35">
      <c r="A34" s="7" t="s">
        <v>82</v>
      </c>
      <c r="B34" s="2" t="s">
        <v>111</v>
      </c>
    </row>
    <row r="35" spans="1:2" ht="15.75" customHeight="1" x14ac:dyDescent="0.35">
      <c r="A35" s="7" t="s">
        <v>11</v>
      </c>
      <c r="B35" s="2" t="s">
        <v>112</v>
      </c>
    </row>
    <row r="36" spans="1:2" ht="15.75" customHeight="1" x14ac:dyDescent="0.35">
      <c r="A36" s="7" t="s">
        <v>198</v>
      </c>
      <c r="B36" s="2" t="s">
        <v>211</v>
      </c>
    </row>
    <row r="37" spans="1:2" ht="15.75" customHeight="1" x14ac:dyDescent="0.35">
      <c r="A37" s="2" t="s">
        <v>12</v>
      </c>
      <c r="B37" s="2" t="s">
        <v>48</v>
      </c>
    </row>
    <row r="38" spans="1:2" ht="15.75" customHeight="1" x14ac:dyDescent="0.35">
      <c r="A38" s="7" t="s">
        <v>138</v>
      </c>
      <c r="B38" s="2" t="s">
        <v>212</v>
      </c>
    </row>
    <row r="39" spans="1:2" ht="15.75" customHeight="1" x14ac:dyDescent="0.35">
      <c r="A39" s="3" t="s">
        <v>137</v>
      </c>
      <c r="B39" s="2" t="s">
        <v>213</v>
      </c>
    </row>
    <row r="40" spans="1:2" ht="15.75" customHeight="1" x14ac:dyDescent="0.35">
      <c r="A40" s="7" t="s">
        <v>13</v>
      </c>
      <c r="B40" s="2" t="s">
        <v>214</v>
      </c>
    </row>
    <row r="41" spans="1:2" ht="15.75" customHeight="1" x14ac:dyDescent="0.35">
      <c r="A41" s="7" t="s">
        <v>123</v>
      </c>
      <c r="B41" s="2" t="s">
        <v>129</v>
      </c>
    </row>
    <row r="42" spans="1:2" ht="15.75" customHeight="1" x14ac:dyDescent="0.35">
      <c r="A42" s="7" t="s">
        <v>125</v>
      </c>
      <c r="B42" s="2" t="s">
        <v>126</v>
      </c>
    </row>
    <row r="43" spans="1:2" ht="15.75" customHeight="1" x14ac:dyDescent="0.35">
      <c r="A43" s="7" t="s">
        <v>127</v>
      </c>
      <c r="B43" s="2" t="s">
        <v>134</v>
      </c>
    </row>
    <row r="44" spans="1:2" ht="15.75" customHeight="1" x14ac:dyDescent="0.35">
      <c r="A44" s="7" t="s">
        <v>87</v>
      </c>
      <c r="B44" s="2" t="s">
        <v>215</v>
      </c>
    </row>
    <row r="45" spans="1:2" ht="15.75" customHeight="1" x14ac:dyDescent="0.35">
      <c r="A45" s="2" t="s">
        <v>14</v>
      </c>
      <c r="B45" s="2" t="s">
        <v>113</v>
      </c>
    </row>
    <row r="46" spans="1:2" ht="15.75" customHeight="1" x14ac:dyDescent="0.35">
      <c r="A46" s="2" t="s">
        <v>156</v>
      </c>
      <c r="B46" s="2" t="s">
        <v>216</v>
      </c>
    </row>
    <row r="47" spans="1:2" ht="15.75" customHeight="1" x14ac:dyDescent="0.35">
      <c r="A47" s="2" t="s">
        <v>164</v>
      </c>
      <c r="B47" s="2" t="s">
        <v>217</v>
      </c>
    </row>
    <row r="48" spans="1:2" ht="15.75" customHeight="1" x14ac:dyDescent="0.35">
      <c r="A48" s="2" t="s">
        <v>160</v>
      </c>
      <c r="B48" s="2" t="s">
        <v>218</v>
      </c>
    </row>
    <row r="49" spans="1:2" ht="15.75" customHeight="1" x14ac:dyDescent="0.35">
      <c r="A49" s="2" t="s">
        <v>165</v>
      </c>
      <c r="B49" s="2" t="s">
        <v>219</v>
      </c>
    </row>
    <row r="50" spans="1:2" ht="15.75" customHeight="1" x14ac:dyDescent="0.35">
      <c r="A50" s="2" t="s">
        <v>167</v>
      </c>
      <c r="B50" s="2" t="s">
        <v>220</v>
      </c>
    </row>
    <row r="51" spans="1:2" ht="15.75" customHeight="1" x14ac:dyDescent="0.35">
      <c r="A51" s="7" t="s">
        <v>221</v>
      </c>
      <c r="B51" s="2" t="s">
        <v>222</v>
      </c>
    </row>
    <row r="52" spans="1:2" ht="15.75" customHeight="1" x14ac:dyDescent="0.35">
      <c r="A52" s="7" t="s">
        <v>60</v>
      </c>
      <c r="B52" s="2" t="s">
        <v>114</v>
      </c>
    </row>
    <row r="53" spans="1:2" ht="15.75" customHeight="1" x14ac:dyDescent="0.35">
      <c r="A53" s="7" t="s">
        <v>15</v>
      </c>
      <c r="B53" s="2" t="s">
        <v>115</v>
      </c>
    </row>
    <row r="54" spans="1:2" ht="15.75" customHeight="1" x14ac:dyDescent="0.35">
      <c r="A54" s="2" t="s">
        <v>16</v>
      </c>
      <c r="B54" s="2" t="s">
        <v>49</v>
      </c>
    </row>
    <row r="55" spans="1:2" ht="15.75" customHeight="1" x14ac:dyDescent="0.35">
      <c r="A55" s="2" t="s">
        <v>17</v>
      </c>
      <c r="B55" s="2" t="s">
        <v>223</v>
      </c>
    </row>
    <row r="56" spans="1:2" ht="15.75" customHeight="1" x14ac:dyDescent="0.35">
      <c r="A56" s="2" t="s">
        <v>18</v>
      </c>
      <c r="B56" s="2" t="s">
        <v>224</v>
      </c>
    </row>
    <row r="57" spans="1:2" ht="15.75" customHeight="1" x14ac:dyDescent="0.35">
      <c r="A57" s="2" t="s">
        <v>19</v>
      </c>
      <c r="B57" s="2" t="s">
        <v>50</v>
      </c>
    </row>
    <row r="58" spans="1:2" ht="15.75" customHeight="1" x14ac:dyDescent="0.35">
      <c r="A58" s="2" t="s">
        <v>20</v>
      </c>
      <c r="B58" s="2" t="s">
        <v>51</v>
      </c>
    </row>
    <row r="59" spans="1:2" ht="15.75" customHeight="1" x14ac:dyDescent="0.35">
      <c r="A59" s="2" t="s">
        <v>21</v>
      </c>
      <c r="B59" s="2" t="s">
        <v>225</v>
      </c>
    </row>
    <row r="60" spans="1:2" ht="15.75" customHeight="1" x14ac:dyDescent="0.35">
      <c r="A60" s="2" t="s">
        <v>16</v>
      </c>
      <c r="B60" s="2" t="s">
        <v>226</v>
      </c>
    </row>
    <row r="61" spans="1:2" ht="15.75" customHeight="1" x14ac:dyDescent="0.35">
      <c r="A61" s="2" t="s">
        <v>24</v>
      </c>
      <c r="B61" s="2" t="s">
        <v>52</v>
      </c>
    </row>
    <row r="62" spans="1:2" ht="15.75" customHeight="1" x14ac:dyDescent="0.35">
      <c r="A62" s="2" t="s">
        <v>28</v>
      </c>
      <c r="B62" s="2" t="s">
        <v>53</v>
      </c>
    </row>
    <row r="63" spans="1:2" ht="15.75" customHeight="1" x14ac:dyDescent="0.35">
      <c r="A63" s="2" t="s">
        <v>30</v>
      </c>
      <c r="B63" s="2" t="s">
        <v>54</v>
      </c>
    </row>
    <row r="64" spans="1:2" ht="15.75" customHeight="1" x14ac:dyDescent="0.35">
      <c r="A64" s="2" t="s">
        <v>159</v>
      </c>
      <c r="B64" s="2" t="s">
        <v>227</v>
      </c>
    </row>
    <row r="65" spans="1:2" ht="15.75" customHeight="1" x14ac:dyDescent="0.35">
      <c r="A65" s="2" t="s">
        <v>31</v>
      </c>
      <c r="B65" s="2" t="s">
        <v>116</v>
      </c>
    </row>
    <row r="66" spans="1:2" ht="15.75" customHeight="1" x14ac:dyDescent="0.35">
      <c r="A66" s="2" t="s">
        <v>130</v>
      </c>
      <c r="B66" s="12" t="s">
        <v>131</v>
      </c>
    </row>
    <row r="67" spans="1:2" ht="15.75" customHeight="1" x14ac:dyDescent="0.35">
      <c r="A67" s="2" t="s">
        <v>117</v>
      </c>
      <c r="B67" s="2" t="s">
        <v>118</v>
      </c>
    </row>
    <row r="68" spans="1:2" ht="15.75" customHeight="1" x14ac:dyDescent="0.35">
      <c r="A68" s="7"/>
    </row>
    <row r="69" spans="1:2" ht="15.75" customHeight="1" x14ac:dyDescent="0.35">
      <c r="A69" s="7"/>
    </row>
    <row r="70" spans="1:2" ht="15.75" customHeight="1" x14ac:dyDescent="0.35">
      <c r="A70" s="7"/>
    </row>
    <row r="71" spans="1:2" ht="15.75" customHeight="1" x14ac:dyDescent="0.35">
      <c r="A71" s="7"/>
    </row>
    <row r="72" spans="1:2" ht="15.75" customHeight="1" x14ac:dyDescent="0.35">
      <c r="A72" s="7"/>
    </row>
    <row r="73" spans="1:2" ht="15.75" customHeight="1" x14ac:dyDescent="0.35">
      <c r="A73" s="7"/>
    </row>
    <row r="74" spans="1:2" ht="15.75" customHeight="1" x14ac:dyDescent="0.35">
      <c r="A74" s="7"/>
    </row>
    <row r="75" spans="1:2" ht="15.75" customHeight="1" x14ac:dyDescent="0.35">
      <c r="A75" s="7"/>
    </row>
    <row r="76" spans="1:2" ht="15.75" customHeight="1" x14ac:dyDescent="0.35">
      <c r="A76" s="7"/>
    </row>
    <row r="77" spans="1:2" ht="15.75" customHeight="1" x14ac:dyDescent="0.35">
      <c r="A77" s="8"/>
    </row>
    <row r="78" spans="1:2" ht="15.75" customHeight="1" x14ac:dyDescent="0.35">
      <c r="A78" s="7"/>
    </row>
    <row r="79" spans="1:2" ht="15.75" customHeight="1" x14ac:dyDescent="0.35"/>
    <row r="80" spans="1:2" ht="15.75" customHeight="1" x14ac:dyDescent="0.35">
      <c r="A80" s="7"/>
    </row>
    <row r="81" spans="1:1" ht="15.75" customHeight="1" x14ac:dyDescent="0.35">
      <c r="A81" s="7"/>
    </row>
    <row r="82" spans="1:1" ht="15.75" customHeight="1" x14ac:dyDescent="0.35">
      <c r="A82" s="7"/>
    </row>
    <row r="83" spans="1:1" ht="15.75" customHeight="1" x14ac:dyDescent="0.35">
      <c r="A83" s="7"/>
    </row>
    <row r="84" spans="1:1" ht="15.75" customHeight="1" x14ac:dyDescent="0.35">
      <c r="A84" s="7"/>
    </row>
    <row r="85" spans="1:1" ht="15.75" customHeight="1" x14ac:dyDescent="0.35">
      <c r="A85" s="7"/>
    </row>
    <row r="86" spans="1:1" ht="15.75" customHeight="1" x14ac:dyDescent="0.35">
      <c r="A86" s="7"/>
    </row>
    <row r="87" spans="1:1" ht="15.75" customHeight="1" x14ac:dyDescent="0.35">
      <c r="A87" s="7"/>
    </row>
    <row r="88" spans="1:1" ht="15.75" customHeight="1" x14ac:dyDescent="0.35"/>
    <row r="89" spans="1:1" ht="15.75" customHeight="1" x14ac:dyDescent="0.35">
      <c r="A89" s="7"/>
    </row>
    <row r="90" spans="1:1" ht="15.75" customHeight="1" x14ac:dyDescent="0.35">
      <c r="A90" s="7"/>
    </row>
    <row r="91" spans="1:1" ht="15.75" customHeight="1" x14ac:dyDescent="0.35">
      <c r="A91" s="7"/>
    </row>
    <row r="92" spans="1:1" ht="15.75" customHeight="1" x14ac:dyDescent="0.35">
      <c r="A92" s="7"/>
    </row>
    <row r="93" spans="1:1" ht="15.75" customHeight="1" x14ac:dyDescent="0.35">
      <c r="A93" s="7"/>
    </row>
    <row r="94" spans="1:1" ht="15.75" customHeight="1" x14ac:dyDescent="0.35">
      <c r="A94" s="7"/>
    </row>
    <row r="95" spans="1:1" ht="15.75" customHeight="1" x14ac:dyDescent="0.35">
      <c r="A95" s="7"/>
    </row>
    <row r="96" spans="1:1" ht="15.75" customHeight="1" x14ac:dyDescent="0.35">
      <c r="A96" s="7"/>
    </row>
    <row r="97" spans="1:1" ht="15.75" customHeight="1" x14ac:dyDescent="0.35">
      <c r="A97" s="7"/>
    </row>
    <row r="98" spans="1:1" ht="15.75" customHeight="1" x14ac:dyDescent="0.35">
      <c r="A98" s="7"/>
    </row>
    <row r="99" spans="1:1" ht="15.75" customHeight="1" x14ac:dyDescent="0.35">
      <c r="A99" s="7"/>
    </row>
    <row r="100" spans="1:1" ht="15.75" customHeight="1" x14ac:dyDescent="0.35">
      <c r="A100" s="7"/>
    </row>
    <row r="101" spans="1:1" ht="15.75" customHeight="1" x14ac:dyDescent="0.35"/>
    <row r="102" spans="1:1" ht="15.75" customHeight="1" x14ac:dyDescent="0.35"/>
    <row r="103" spans="1:1" ht="15.75" customHeight="1" x14ac:dyDescent="0.35"/>
    <row r="104" spans="1:1" ht="15.75" customHeight="1" x14ac:dyDescent="0.35"/>
    <row r="105" spans="1:1" ht="15.75" customHeight="1" x14ac:dyDescent="0.35"/>
    <row r="106" spans="1:1" ht="15.75" customHeight="1" x14ac:dyDescent="0.35"/>
    <row r="107" spans="1:1" ht="15.75" customHeight="1" x14ac:dyDescent="0.35"/>
    <row r="108" spans="1:1" ht="15.75" customHeight="1" x14ac:dyDescent="0.35"/>
    <row r="109" spans="1:1" ht="15.75" customHeight="1" x14ac:dyDescent="0.35"/>
    <row r="110" spans="1:1" ht="15.75" customHeight="1" x14ac:dyDescent="0.35"/>
    <row r="111" spans="1:1" ht="15.75" customHeight="1" x14ac:dyDescent="0.35"/>
    <row r="112" spans="1:1"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sheetData>
  <pageMargins left="0.7" right="0.7" top="0.75" bottom="0.75" header="0" footer="0"/>
  <pageSetup orientation="landscape" r:id="rId1"/>
</worksheet>
</file>

<file path=docMetadata/LabelInfo.xml><?xml version="1.0" encoding="utf-8"?>
<clbl:labelList xmlns:clbl="http://schemas.microsoft.com/office/2020/mipLabelMetadata">
  <clbl:label id="{72157dbb-e8bd-40dc-8d00-3f08c234ac47}" enabled="0" method="" siteId="{72157dbb-e8bd-40dc-8d00-3f08c234ac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summary</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Ondi Crino</cp:lastModifiedBy>
  <dcterms:created xsi:type="dcterms:W3CDTF">2022-11-28T10:07:29Z</dcterms:created>
  <dcterms:modified xsi:type="dcterms:W3CDTF">2026-09-15T06:03:17Z</dcterms:modified>
</cp:coreProperties>
</file>